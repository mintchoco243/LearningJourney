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Downloads\KV lam viec\LearningJourney\"/>
    </mc:Choice>
  </mc:AlternateContent>
  <xr:revisionPtr revIDLastSave="0" documentId="8_{F5FA81DD-3BAA-429C-919D-0F238262DCC7}" xr6:coauthVersionLast="47" xr6:coauthVersionMax="47" xr10:uidLastSave="{00000000-0000-0000-0000-000000000000}"/>
  <bookViews>
    <workbookView xWindow="-109" yWindow="-109" windowWidth="26301" windowHeight="14889" firstSheet="6" activeTab="7" xr2:uid="{00000000-000D-0000-FFFF-FFFF00000000}"/>
  </bookViews>
  <sheets>
    <sheet name="feedback elearning" sheetId="2" r:id="rId1"/>
    <sheet name="Quà Q3" sheetId="5" state="hidden" r:id="rId2"/>
    <sheet name="Copy of Quà Q3" sheetId="6" state="hidden" r:id="rId3"/>
    <sheet name="Sheet14" sheetId="7" state="hidden" r:id="rId4"/>
    <sheet name="Data Learning Hours chi tiết 20" sheetId="8" state="hidden" r:id="rId5"/>
    <sheet name="Trang tính7" sheetId="13" state="hidden" r:id="rId6"/>
    <sheet name="Feedback (Training Budget Spons" sheetId="22" r:id="rId7"/>
    <sheet name="Feedback (Request)" sheetId="23" r:id="rId8"/>
    <sheet name="Tracking Budget" sheetId="28" state="hidden" r:id="rId9"/>
  </sheets>
  <definedNames>
    <definedName name="_xlnm._FilterDatabase" localSheetId="2" hidden="1">'Copy of Quà Q3'!$A$3:$F$94</definedName>
    <definedName name="_xlnm._FilterDatabase" localSheetId="1" hidden="1">'Quà Q3'!$A$3:$F$130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0" i="5" l="1" a="1"/>
  <c r="F130" i="5"/>
  <c r="G130" i="5" s="1"/>
  <c r="F129" i="5" a="1"/>
  <c r="F129" i="5"/>
  <c r="G129" i="5" s="1"/>
  <c r="F128" i="5" a="1"/>
  <c r="F128" i="5"/>
  <c r="G128" i="5" s="1"/>
  <c r="F127" i="5" a="1"/>
  <c r="F127" i="5"/>
  <c r="G127" i="5" s="1"/>
  <c r="F126" i="5" a="1"/>
  <c r="F126" i="5"/>
  <c r="G126" i="5" s="1"/>
  <c r="F125" i="5" a="1"/>
  <c r="F125" i="5"/>
  <c r="G125" i="5" s="1"/>
  <c r="F124" i="5" a="1"/>
  <c r="F124" i="5"/>
  <c r="G124" i="5" s="1"/>
  <c r="F123" i="5" a="1"/>
  <c r="F123" i="5"/>
  <c r="G123" i="5" s="1"/>
  <c r="F122" i="5" a="1"/>
  <c r="F122" i="5"/>
  <c r="G122" i="5" s="1"/>
  <c r="F121" i="5" a="1"/>
  <c r="F121" i="5"/>
  <c r="G121" i="5" s="1"/>
  <c r="F120" i="5" a="1"/>
  <c r="F120" i="5"/>
  <c r="G120" i="5" s="1"/>
  <c r="F119" i="5" a="1"/>
  <c r="F119" i="5"/>
  <c r="G119" i="5" s="1"/>
  <c r="F118" i="5" a="1"/>
  <c r="F118" i="5"/>
  <c r="G118" i="5" s="1"/>
  <c r="F117" i="5" a="1"/>
  <c r="F117" i="5"/>
  <c r="G117" i="5" s="1"/>
  <c r="F116" i="5" a="1"/>
  <c r="F116" i="5"/>
  <c r="G116" i="5" s="1"/>
  <c r="F115" i="5" a="1"/>
  <c r="F115" i="5"/>
  <c r="G115" i="5" s="1"/>
  <c r="F114" i="5" a="1"/>
  <c r="F114" i="5"/>
  <c r="G114" i="5" s="1"/>
  <c r="F113" i="5" a="1"/>
  <c r="F113" i="5"/>
  <c r="G113" i="5" s="1"/>
  <c r="F112" i="5" a="1"/>
  <c r="F112" i="5"/>
  <c r="G112" i="5" s="1"/>
  <c r="F111" i="5" a="1"/>
  <c r="F111" i="5"/>
  <c r="G111" i="5" s="1"/>
  <c r="F110" i="5" a="1"/>
  <c r="F110" i="5"/>
  <c r="G110" i="5" s="1"/>
  <c r="F109" i="5" a="1"/>
  <c r="F109" i="5"/>
  <c r="G109" i="5" s="1"/>
  <c r="F108" i="5" a="1"/>
  <c r="F108" i="5"/>
  <c r="G108" i="5" s="1"/>
  <c r="F107" i="5" a="1"/>
  <c r="F107" i="5"/>
  <c r="G107" i="5" s="1"/>
  <c r="F106" i="5" a="1"/>
  <c r="F106" i="5"/>
  <c r="G106" i="5" s="1"/>
  <c r="F105" i="5" a="1"/>
  <c r="F105" i="5"/>
  <c r="G105" i="5" s="1"/>
  <c r="F104" i="5" a="1"/>
  <c r="F104" i="5"/>
  <c r="G104" i="5" s="1"/>
  <c r="F103" i="5" a="1"/>
  <c r="F103" i="5"/>
  <c r="G103" i="5" s="1"/>
  <c r="F102" i="5" a="1"/>
  <c r="F102" i="5"/>
  <c r="G102" i="5" s="1"/>
  <c r="F101" i="5" a="1"/>
  <c r="F101" i="5"/>
  <c r="G101" i="5" s="1"/>
  <c r="F100" i="5" a="1"/>
  <c r="F100" i="5"/>
  <c r="G100" i="5" s="1"/>
  <c r="F99" i="5" a="1"/>
  <c r="F99" i="5"/>
  <c r="G99" i="5" s="1"/>
  <c r="F98" i="5" a="1"/>
  <c r="F98" i="5" s="1"/>
  <c r="G98" i="5" s="1"/>
  <c r="F97" i="5" a="1"/>
  <c r="F97" i="5"/>
  <c r="G97" i="5" s="1"/>
  <c r="F96" i="5" a="1"/>
  <c r="F96" i="5"/>
  <c r="G96" i="5" s="1"/>
  <c r="F95" i="5" a="1"/>
  <c r="F95" i="5"/>
  <c r="G95" i="5" s="1"/>
  <c r="F94" i="5" a="1"/>
  <c r="F94" i="5"/>
  <c r="G94" i="5" s="1"/>
  <c r="F93" i="5" a="1"/>
  <c r="F93" i="5"/>
  <c r="G93" i="5" s="1"/>
  <c r="F92" i="5" a="1"/>
  <c r="F92" i="5"/>
  <c r="G92" i="5" s="1"/>
  <c r="F91" i="5" a="1"/>
  <c r="F91" i="5" s="1"/>
  <c r="G91" i="5" s="1"/>
  <c r="F90" i="5" a="1"/>
  <c r="F90" i="5" s="1"/>
  <c r="G90" i="5" s="1"/>
  <c r="F89" i="5" a="1"/>
  <c r="F89" i="5"/>
  <c r="G89" i="5" s="1"/>
  <c r="F88" i="5" a="1"/>
  <c r="F88" i="5" s="1"/>
  <c r="G88" i="5" s="1"/>
  <c r="F87" i="5" a="1"/>
  <c r="F87" i="5" s="1"/>
  <c r="G87" i="5" s="1"/>
  <c r="F86" i="5" a="1"/>
  <c r="F86" i="5"/>
  <c r="G86" i="5" s="1"/>
  <c r="F85" i="5" a="1"/>
  <c r="F85" i="5" s="1"/>
  <c r="G85" i="5" s="1"/>
  <c r="F84" i="5" a="1"/>
  <c r="F84" i="5" s="1"/>
  <c r="G84" i="5" s="1"/>
  <c r="F83" i="5" a="1"/>
  <c r="F83" i="5" s="1"/>
  <c r="G83" i="5" s="1"/>
  <c r="F82" i="5" a="1"/>
  <c r="F82" i="5" s="1"/>
  <c r="G82" i="5" s="1"/>
  <c r="F81" i="5" a="1"/>
  <c r="F81" i="5" s="1"/>
  <c r="G81" i="5" s="1"/>
  <c r="F80" i="5" a="1"/>
  <c r="F80" i="5" s="1"/>
  <c r="G80" i="5" s="1"/>
  <c r="F79" i="5" a="1"/>
  <c r="F79" i="5"/>
  <c r="G79" i="5" s="1"/>
  <c r="F78" i="5" a="1"/>
  <c r="F78" i="5" s="1"/>
  <c r="G78" i="5" s="1"/>
  <c r="F77" i="5" a="1"/>
  <c r="F77" i="5" s="1"/>
  <c r="G77" i="5" s="1"/>
  <c r="F76" i="5" a="1"/>
  <c r="F76" i="5" s="1"/>
  <c r="G76" i="5" s="1"/>
  <c r="F75" i="5" a="1"/>
  <c r="F75" i="5" s="1"/>
  <c r="G75" i="5" s="1"/>
  <c r="F74" i="5" a="1"/>
  <c r="F74" i="5" s="1"/>
  <c r="G74" i="5" s="1"/>
  <c r="F73" i="5" a="1"/>
  <c r="F73" i="5" s="1"/>
  <c r="G73" i="5" s="1"/>
  <c r="F72" i="5" a="1"/>
  <c r="F72" i="5" s="1"/>
  <c r="G72" i="5" s="1"/>
  <c r="F71" i="5" a="1"/>
  <c r="F71" i="5" s="1"/>
  <c r="G71" i="5" s="1"/>
  <c r="F70" i="5" a="1"/>
  <c r="F70" i="5" s="1"/>
  <c r="G70" i="5" s="1"/>
  <c r="F69" i="5" a="1"/>
  <c r="F69" i="5" s="1"/>
  <c r="G69" i="5" s="1"/>
  <c r="F68" i="5" a="1"/>
  <c r="F68" i="5" s="1"/>
  <c r="G68" i="5" s="1"/>
  <c r="F67" i="5" a="1"/>
  <c r="F67" i="5" s="1"/>
  <c r="G67" i="5" s="1"/>
  <c r="F66" i="5" a="1"/>
  <c r="F66" i="5" s="1"/>
  <c r="G66" i="5" s="1"/>
  <c r="F65" i="5" a="1"/>
  <c r="F65" i="5" s="1"/>
  <c r="G65" i="5" s="1"/>
  <c r="F64" i="5" a="1"/>
  <c r="F64" i="5" s="1"/>
  <c r="G64" i="5" s="1"/>
  <c r="F63" i="5" a="1"/>
  <c r="F63" i="5" s="1"/>
  <c r="G63" i="5" s="1"/>
  <c r="F62" i="5" a="1"/>
  <c r="F62" i="5" s="1"/>
  <c r="G62" i="5" s="1"/>
  <c r="F61" i="5" a="1"/>
  <c r="F61" i="5" s="1"/>
  <c r="G61" i="5" s="1"/>
  <c r="F60" i="5" a="1"/>
  <c r="F60" i="5" s="1"/>
  <c r="G60" i="5" s="1"/>
  <c r="F59" i="5" a="1"/>
  <c r="F59" i="5" s="1"/>
  <c r="G59" i="5" s="1"/>
  <c r="F58" i="5" a="1"/>
  <c r="F58" i="5" s="1"/>
  <c r="G58" i="5" s="1"/>
  <c r="F57" i="5" a="1"/>
  <c r="F57" i="5" s="1"/>
  <c r="G57" i="5" s="1"/>
  <c r="F56" i="5" a="1"/>
  <c r="F56" i="5" s="1"/>
  <c r="G56" i="5" s="1"/>
  <c r="G55" i="5"/>
  <c r="F55" i="5" a="1"/>
  <c r="F55" i="5"/>
  <c r="F54" i="5" a="1"/>
  <c r="F54" i="5"/>
  <c r="G54" i="5" s="1"/>
  <c r="F53" i="5" a="1"/>
  <c r="F53" i="5"/>
  <c r="G53" i="5" s="1"/>
  <c r="F52" i="5" a="1"/>
  <c r="F52" i="5"/>
  <c r="G52" i="5" s="1"/>
  <c r="F51" i="5" a="1"/>
  <c r="F51" i="5"/>
  <c r="G51" i="5" s="1"/>
  <c r="F50" i="5" a="1"/>
  <c r="F50" i="5"/>
  <c r="G50" i="5" s="1"/>
  <c r="F49" i="5" a="1"/>
  <c r="F49" i="5"/>
  <c r="G49" i="5" s="1"/>
  <c r="F48" i="5" a="1"/>
  <c r="F48" i="5"/>
  <c r="G48" i="5" s="1"/>
  <c r="F47" i="5" a="1"/>
  <c r="F47" i="5"/>
  <c r="G47" i="5" s="1"/>
  <c r="F46" i="5" a="1"/>
  <c r="F46" i="5"/>
  <c r="G46" i="5" s="1"/>
  <c r="F45" i="5" a="1"/>
  <c r="F45" i="5"/>
  <c r="G45" i="5" s="1"/>
  <c r="F44" i="5" a="1"/>
  <c r="F44" i="5"/>
  <c r="G44" i="5" s="1"/>
  <c r="F43" i="5" a="1"/>
  <c r="F43" i="5"/>
  <c r="G43" i="5" s="1"/>
  <c r="F42" i="5" a="1"/>
  <c r="F42" i="5"/>
  <c r="G42" i="5" s="1"/>
  <c r="F41" i="5" a="1"/>
  <c r="F41" i="5"/>
  <c r="G41" i="5" s="1"/>
  <c r="F40" i="5" a="1"/>
  <c r="F40" i="5"/>
  <c r="G40" i="5" s="1"/>
  <c r="F39" i="5" a="1"/>
  <c r="F39" i="5"/>
  <c r="G39" i="5" s="1"/>
  <c r="F38" i="5" a="1"/>
  <c r="F38" i="5"/>
  <c r="G38" i="5" s="1"/>
  <c r="F37" i="5" a="1"/>
  <c r="F37" i="5"/>
  <c r="G37" i="5" s="1"/>
  <c r="F36" i="5" a="1"/>
  <c r="F36" i="5"/>
  <c r="G36" i="5" s="1"/>
  <c r="F35" i="5" a="1"/>
  <c r="F35" i="5"/>
  <c r="G35" i="5" s="1"/>
  <c r="F34" i="5" a="1"/>
  <c r="F34" i="5"/>
  <c r="G34" i="5" s="1"/>
  <c r="F33" i="5" a="1"/>
  <c r="F33" i="5"/>
  <c r="G33" i="5" s="1"/>
  <c r="F32" i="5" a="1"/>
  <c r="F32" i="5"/>
  <c r="G32" i="5" s="1"/>
  <c r="F31" i="5" a="1"/>
  <c r="F31" i="5"/>
  <c r="G31" i="5" s="1"/>
  <c r="F30" i="5" a="1"/>
  <c r="F30" i="5"/>
  <c r="G30" i="5" s="1"/>
  <c r="F29" i="5" a="1"/>
  <c r="F29" i="5"/>
  <c r="G29" i="5" s="1"/>
  <c r="F28" i="5" a="1"/>
  <c r="F28" i="5"/>
  <c r="G28" i="5" s="1"/>
  <c r="F27" i="5" a="1"/>
  <c r="F27" i="5"/>
  <c r="G27" i="5" s="1"/>
  <c r="F26" i="5" a="1"/>
  <c r="F26" i="5"/>
  <c r="G26" i="5" s="1"/>
  <c r="F25" i="5" a="1"/>
  <c r="F25" i="5"/>
  <c r="G25" i="5" s="1"/>
  <c r="F24" i="5" a="1"/>
  <c r="F24" i="5"/>
  <c r="G24" i="5" s="1"/>
  <c r="F23" i="5" a="1"/>
  <c r="F23" i="5"/>
  <c r="G23" i="5" s="1"/>
  <c r="F22" i="5" a="1"/>
  <c r="F22" i="5"/>
  <c r="G22" i="5" s="1"/>
  <c r="F21" i="5" a="1"/>
  <c r="F21" i="5"/>
  <c r="G21" i="5" s="1"/>
  <c r="F20" i="5" a="1"/>
  <c r="F20" i="5"/>
  <c r="G20" i="5" s="1"/>
  <c r="F19" i="5" a="1"/>
  <c r="F19" i="5"/>
  <c r="G19" i="5" s="1"/>
  <c r="F18" i="5" a="1"/>
  <c r="F18" i="5"/>
  <c r="G18" i="5" s="1"/>
  <c r="F17" i="5" a="1"/>
  <c r="F17" i="5"/>
  <c r="G17" i="5" s="1"/>
  <c r="F16" i="5" a="1"/>
  <c r="F16" i="5"/>
  <c r="G16" i="5" s="1"/>
  <c r="F15" i="5" a="1"/>
  <c r="F15" i="5" s="1"/>
  <c r="G15" i="5" s="1"/>
  <c r="F14" i="5" a="1"/>
  <c r="F14" i="5" s="1"/>
  <c r="F13" i="5" a="1"/>
  <c r="F13" i="5" s="1"/>
  <c r="F11" i="5" a="1"/>
  <c r="F11" i="5" s="1"/>
  <c r="F10" i="5" a="1"/>
  <c r="F10" i="5" s="1"/>
  <c r="F9" i="5" a="1"/>
  <c r="F9" i="5" s="1"/>
  <c r="F8" i="5" a="1"/>
  <c r="F8" i="5" s="1"/>
  <c r="F7" i="5" a="1"/>
  <c r="F7" i="5" s="1"/>
  <c r="F6" i="5" a="1"/>
  <c r="F6" i="5" s="1"/>
  <c r="F5" i="5" a="1"/>
  <c r="F5" i="5" s="1"/>
  <c r="F4" i="5" a="1"/>
  <c r="F4" i="5" s="1"/>
</calcChain>
</file>

<file path=xl/sharedStrings.xml><?xml version="1.0" encoding="utf-8"?>
<sst xmlns="http://schemas.openxmlformats.org/spreadsheetml/2006/main" count="2153" uniqueCount="775">
  <si>
    <t>Mail</t>
  </si>
  <si>
    <t>Timestamp</t>
  </si>
  <si>
    <t>hongduc.dao@garena.vn</t>
  </si>
  <si>
    <t>Hour</t>
  </si>
  <si>
    <t>Rank</t>
  </si>
  <si>
    <t>Tên của bạn</t>
  </si>
  <si>
    <t>Quà</t>
  </si>
  <si>
    <r>
      <rPr>
        <sz val="10"/>
        <color theme="1"/>
        <rFont val="Arial"/>
      </rPr>
      <t xml:space="preserve">Đánh giá trải nghiệm của bạn với khóa </t>
    </r>
    <r>
      <rPr>
        <b/>
        <sz val="10"/>
        <color theme="1"/>
        <rFont val="Arial"/>
      </rPr>
      <t>Thuyết trình hiệu quả</t>
    </r>
    <r>
      <rPr>
        <sz val="10"/>
        <color theme="1"/>
        <rFont val="Arial"/>
      </rPr>
      <t xml:space="preserve"> [Trải nghiệm chung]</t>
    </r>
  </si>
  <si>
    <r>
      <t xml:space="preserve">Đánh giá trải nghiệm của bạn với khóa </t>
    </r>
    <r>
      <rPr>
        <b/>
        <sz val="10"/>
        <color theme="1"/>
        <rFont val="Arial"/>
      </rPr>
      <t>Thuyết trình hiệu quả</t>
    </r>
    <r>
      <rPr>
        <sz val="10"/>
        <color theme="1"/>
        <rFont val="Arial"/>
      </rPr>
      <t xml:space="preserve"> [Mức độ hài lòng với nội dung?]</t>
    </r>
  </si>
  <si>
    <t>Gà chăm Cao thủ</t>
  </si>
  <si>
    <r>
      <t xml:space="preserve">Đánh giá trải nghiệm của bạn với khóa </t>
    </r>
    <r>
      <rPr>
        <b/>
        <sz val="10"/>
        <color theme="1"/>
        <rFont val="Arial"/>
      </rPr>
      <t>Thuyết trình hiệu quả</t>
    </r>
    <r>
      <rPr>
        <sz val="10"/>
        <color theme="1"/>
        <rFont val="Arial"/>
      </rPr>
      <t xml:space="preserve"> [Mức độ hài lòng với hình thức khóa E-learning? (VD: nội dung minh họa, tương tác, câu hỏi, bài quiz,...)]</t>
    </r>
  </si>
  <si>
    <r>
      <t xml:space="preserve">Đánh giá trải nghiệm của bạn với khóa </t>
    </r>
    <r>
      <rPr>
        <b/>
        <sz val="10"/>
        <color theme="1"/>
        <rFont val="Arial"/>
      </rPr>
      <t>Thuyết trình hiệu quả</t>
    </r>
    <r>
      <rPr>
        <sz val="10"/>
        <color theme="1"/>
        <rFont val="Arial"/>
      </rPr>
      <t xml:space="preserve"> [Mức độ hài lòng với truyền thông và hỗ trợ của Bộ phận đào tạo?]</t>
    </r>
  </si>
  <si>
    <r>
      <t xml:space="preserve">Đánh giá trải nghiệm của bạn với khóa </t>
    </r>
    <r>
      <rPr>
        <b/>
        <sz val="10"/>
        <color theme="1"/>
        <rFont val="Arial"/>
      </rPr>
      <t>No-code Automation</t>
    </r>
    <r>
      <rPr>
        <sz val="10"/>
        <color theme="1"/>
        <rFont val="Arial"/>
      </rPr>
      <t xml:space="preserve"> [Trải nghiệm chung]</t>
    </r>
  </si>
  <si>
    <r>
      <t xml:space="preserve">Đánh giá trải nghiệm của bạn với khóa </t>
    </r>
    <r>
      <rPr>
        <b/>
        <sz val="10"/>
        <color theme="1"/>
        <rFont val="Arial"/>
      </rPr>
      <t>No-code Automation</t>
    </r>
    <r>
      <rPr>
        <sz val="10"/>
        <color theme="1"/>
        <rFont val="Arial"/>
      </rPr>
      <t xml:space="preserve"> [Mức độ hài lòng với nội dung?]</t>
    </r>
  </si>
  <si>
    <r>
      <t xml:space="preserve">Đánh giá trải nghiệm của bạn với khóa </t>
    </r>
    <r>
      <rPr>
        <b/>
        <sz val="10"/>
        <color theme="1"/>
        <rFont val="Arial"/>
      </rPr>
      <t>No-code Automation</t>
    </r>
    <r>
      <rPr>
        <sz val="10"/>
        <color theme="1"/>
        <rFont val="Arial"/>
      </rPr>
      <t xml:space="preserve"> [Mức độ hài lòng với hình thức khóa E-learning? (VD: nội dung minh họa, tương tác, câu hỏi, bài quiz,...)]</t>
    </r>
  </si>
  <si>
    <r>
      <t xml:space="preserve">Đánh giá trải nghiệm của bạn với khóa </t>
    </r>
    <r>
      <rPr>
        <b/>
        <sz val="10"/>
        <color theme="1"/>
        <rFont val="Arial"/>
      </rPr>
      <t>No-code Automation</t>
    </r>
    <r>
      <rPr>
        <sz val="10"/>
        <color theme="1"/>
        <rFont val="Arial"/>
      </rPr>
      <t xml:space="preserve"> [Mức độ hài lòng với truyền thông và hỗ trợ của Bộ phận đào tạo?]</t>
    </r>
  </si>
  <si>
    <r>
      <t xml:space="preserve">Đánh giá trải nghiệm của bạn với khóa </t>
    </r>
    <r>
      <rPr>
        <b/>
        <sz val="10"/>
        <color theme="1"/>
        <rFont val="Arial"/>
      </rPr>
      <t>Sắp xếp ưu tiên và quản trị công việc hiệu quả</t>
    </r>
    <r>
      <rPr>
        <sz val="10"/>
        <color theme="1"/>
        <rFont val="Arial"/>
      </rPr>
      <t xml:space="preserve"> [Trải nghiệm chung]</t>
    </r>
  </si>
  <si>
    <r>
      <t xml:space="preserve">Đánh giá trải nghiệm của bạn với khóa </t>
    </r>
    <r>
      <rPr>
        <b/>
        <sz val="10"/>
        <color theme="1"/>
        <rFont val="Arial"/>
      </rPr>
      <t>Sắp xếp ưu tiên và quản trị công việc hiệu quả</t>
    </r>
    <r>
      <rPr>
        <sz val="10"/>
        <color theme="1"/>
        <rFont val="Arial"/>
      </rPr>
      <t xml:space="preserve"> [Mức độ hài lòng với nội dung?]</t>
    </r>
  </si>
  <si>
    <r>
      <t xml:space="preserve">Đánh giá trải nghiệm của bạn với khóa </t>
    </r>
    <r>
      <rPr>
        <b/>
        <sz val="10"/>
        <color theme="1"/>
        <rFont val="Arial"/>
      </rPr>
      <t>Sắp xếp ưu tiên và quản trị công việc hiệu quả</t>
    </r>
    <r>
      <rPr>
        <sz val="10"/>
        <color theme="1"/>
        <rFont val="Arial"/>
      </rPr>
      <t xml:space="preserve"> [Mức độ hài lòng với hình thức khóa E-learning? (VD: nội dung minh họa, tương tác, câu hỏi, bài quiz,...)]</t>
    </r>
  </si>
  <si>
    <t>Email Address</t>
  </si>
  <si>
    <r>
      <t xml:space="preserve">Đánh giá trải nghiệm của bạn với khóa </t>
    </r>
    <r>
      <rPr>
        <b/>
        <sz val="10"/>
        <color theme="1"/>
        <rFont val="Arial"/>
      </rPr>
      <t>Sắp xếp ưu tiên và quản trị công việc hiệu quả</t>
    </r>
    <r>
      <rPr>
        <sz val="10"/>
        <color theme="1"/>
        <rFont val="Arial"/>
      </rPr>
      <t xml:space="preserve"> [Mức độ hài lòng với truyền thông và hỗ trợ của Bộ phận đào tạo?]</t>
    </r>
  </si>
  <si>
    <r>
      <rPr>
        <b/>
        <sz val="10"/>
        <color theme="1"/>
        <rFont val="Arial"/>
      </rPr>
      <t>Vui lòng chia sẻ một điều mà bạn học được và có thể áp dụng trong thực tế công việc thông qua các khóa học này?</t>
    </r>
    <r>
      <rPr>
        <i/>
        <sz val="10"/>
        <color theme="1"/>
        <rFont val="Arial"/>
      </rPr>
      <t xml:space="preserve">
(tùy chọn trả lời)</t>
    </r>
  </si>
  <si>
    <t>Gà hơi chăm</t>
  </si>
  <si>
    <r>
      <rPr>
        <b/>
        <sz val="10"/>
        <color theme="1"/>
        <rFont val="Arial"/>
      </rPr>
      <t>Vui lòng chia sẻ thêm các phản hồi /gợi ý khác của bạn để cải thiện chất lượng đào tạo?</t>
    </r>
    <r>
      <rPr>
        <i/>
        <sz val="10"/>
        <color theme="1"/>
        <rFont val="Arial"/>
      </rPr>
      <t xml:space="preserve">
(tùy chọn trả lời)</t>
    </r>
  </si>
  <si>
    <t>traanh.au@garena.vn</t>
  </si>
  <si>
    <t>Gà chăm Tinh Anh</t>
  </si>
  <si>
    <t>Trần Cao Cương</t>
  </si>
  <si>
    <t>Gà chăm Tân thủ</t>
  </si>
  <si>
    <t>Gà chăm Kim cương</t>
  </si>
  <si>
    <t>Pin kim loại</t>
  </si>
  <si>
    <t>NA - Tôi chưa học khóa này</t>
  </si>
  <si>
    <t>lenam.to@garena.vn</t>
  </si>
  <si>
    <t>Đế lót ly in hình Gà Learning</t>
  </si>
  <si>
    <t>huyenanh.phan@garena.vn</t>
  </si>
  <si>
    <t>Standee hình Gà</t>
  </si>
  <si>
    <t>vananh@garena.vn</t>
  </si>
  <si>
    <t>Cốc in hình Gà</t>
  </si>
  <si>
    <t>thuyan.nguyen@garena.vn</t>
  </si>
  <si>
    <t>manhlinh.nguyen@garena.vn</t>
  </si>
  <si>
    <t>Bình giữ nhiệt in hình Gà Learning</t>
  </si>
  <si>
    <t>thutrang.tran@garena.vn</t>
  </si>
  <si>
    <t>thutrang.nguyenthi@garena.vn</t>
  </si>
  <si>
    <t>Mai Anh Tuấn</t>
  </si>
  <si>
    <t>thutrang.nguyen@garena.vn</t>
  </si>
  <si>
    <t>thithanh.le@garena.vn</t>
  </si>
  <si>
    <t>phuonglien.ngo@garena.vn</t>
  </si>
  <si>
    <t>thuyquynh.luong@garena.vn</t>
  </si>
  <si>
    <t>thiloan.nguyen@garena.vn</t>
  </si>
  <si>
    <t>trungkien.tran@garena.vn</t>
  </si>
  <si>
    <t>Thuyết trình hiệu quả, trình bày slide hợp lý</t>
  </si>
  <si>
    <t>Nhi</t>
  </si>
  <si>
    <t>trang.nguyen@garena.vn</t>
  </si>
  <si>
    <t>anhvu.an@garena.vn</t>
  </si>
  <si>
    <t>Tôi tự xắp xếp thứ tự công việc ưu tiên để không bị chậm dealine</t>
  </si>
  <si>
    <t>NA</t>
  </si>
  <si>
    <t>NGUYEN THI LOAN</t>
  </si>
  <si>
    <t>minhtri.hoang@garena.vn</t>
  </si>
  <si>
    <t>Lương Thị Thuý Quỳnh</t>
  </si>
  <si>
    <t>Trần Thu Trang</t>
  </si>
  <si>
    <t>anhkhoa.le@garena.vn</t>
  </si>
  <si>
    <t>Nguyễn Thu Trang</t>
  </si>
  <si>
    <t>vietanh.pham@garena.vn</t>
  </si>
  <si>
    <t>Trần Thu Giang</t>
  </si>
  <si>
    <t xml:space="preserve">Biết được một số term để tự tìm hiểu khi làm no-code automation </t>
  </si>
  <si>
    <t>The Anh</t>
  </si>
  <si>
    <t>phuongthao.le@garena.vn</t>
  </si>
  <si>
    <t>Nguyễn Thị Thu Trang</t>
  </si>
  <si>
    <t>vinhyen.dao@garena.vn</t>
  </si>
  <si>
    <t>Ngô Thành Trung</t>
  </si>
  <si>
    <t>Áp dụng trực tiếp vào công việc rất tốt</t>
  </si>
  <si>
    <t>Khóa nào em cũng hài lòng về nội dung nhưng có khóa em chấm 4 điểm là do còn lỗi chính tả, em nghĩ mình có thể khắc phục ạ</t>
  </si>
  <si>
    <t>Thân Việt Anh</t>
  </si>
  <si>
    <t>phuocquang.nhan@garena.vn</t>
  </si>
  <si>
    <t>Hình thức online e thấy hơi thiếu tương tác, kiểu bị 1 chiều bị thiếu phần discussion so với học offline
Góp ý thì chắc là ở dạng meeting e nghĩ có thể hiệu quả hơn
UI UX thì ok e k gặp vấn đề gì
E thấy tương đối ok, cơ mà phần đầu khá nặng lí thuyết 
Hơi dài, chắc nên thiên về practical case hơn r tự mình ngẫm có fit với công ty k, kiểu học lí thuyết thì hơi giống hồi học ĐH
Nếu ở dạng meeting và về mảng muốn học thêm thì e sẵn lòng</t>
  </si>
  <si>
    <t>minhkhoi.tran@garena.vn</t>
  </si>
  <si>
    <t>Hình thức học tương đối hiệu quả, sinh động, rất thích khi có phần quà được trao
Góp ý: Mong muốn có thêm hình thức thực hành, và mong muốn mở rộng thêm các khóa học chuyên sâu về team của mình, ví dụ như em là team product thì em rất muốn nghe các khóa học đến từ các anh bên product, nói về users, revenue, events, ... và các ứng dụng AI thực tế vào công việc của product
Nội dung khóa học vô cùng hữu ích
Thiết kế bài học hay quiz rất dễ hiểu, site làm tương đối thuận flow khi đọc
Rất mong muốn có thêm những bài học tương tự trong tương lại :&gt;</t>
  </si>
  <si>
    <t>Nguyễn Văn Hoàng</t>
  </si>
  <si>
    <t>ngocminh.le@garena.vn</t>
  </si>
  <si>
    <t>Em thấy học Elearning này khá là hay nhưng mà nó đang chưa giống việc học lắm, hoặc là em thấy nó chưa có impact với em về mảng em muốn học. Các khóa này có thể có ích với người khác thì em chưa rõ. theo cá nhân em đã trải qua 1 khóa elearning em thấy nó chưa thật sự cần thiết với em lắm, khóa đó em học nhằm mục đích tìm hiểu xem như thế nào là chính. 
** Mong muốn của em sẽ được mở rộng khóa học với nhiều nội dung hơn ví dụ: khóa học prompt ai, khóa học alpha inteligent hoặc học về alpha knowledge, khóa học về clip.ingarena,toogen ... gì đó sẽ có ích với em hơn.
Các khóa học nên có lộ trình dài hơn có thể là vài tháng hoặc vài tuần gì đó. mỗi ngày 2 tiếng hoặc ít hơn. (cái này do em hardcore còn người khác em không rõ :(( ) 
Nếu có khóa học về lập trình hoặc gì gì đó về kỹ năng hơn sẽ tốt hơn ạ. 
Em mong muốn có một khóa về tiếng anh bổ túc cho mọi người sẽ hợp lý. Em thấy có nhiều người em làm việc cùng không có tốt về tiếng Anh cho lắm.</t>
  </si>
  <si>
    <t>Đặng Minh Tuấn</t>
  </si>
  <si>
    <t>1/ Mình thấy hình thức này học tiện lợi vì khi rảnh có thể học mọi lúc mà không bị gò bó
2/ Hiện tại thì không có gì khó khăn vì cơ bản đã từng thử nghiệm trên đó
3/ Nội dung khóa rất thực tế, giúp mình tự động hóa được vài task thủ công trong công việc cũng như việc cá nhân
4/ Thiết kế Slide rõ ràng, dễ hiểu. Phần Quiz nên thêm các tình huống "va chạm" :)))
5/ Có muốn học thêm theo hình thức này để có thể biết thêm về nhiều khía cạnh khác các tips để sup cho công việc vì không có thời gian rãnh để học cố định.</t>
  </si>
  <si>
    <t>Nguyễn Anh Khoa</t>
  </si>
  <si>
    <t>mytram.nguyen@garena.vn</t>
  </si>
  <si>
    <t>Nhanh gọn lẹ, hình thức ok nhưng muốn được học chuyên sâu, khó hơn, ra thành quả hơn, các kiến thức này hơi cơ bản xem 1 lần là nhớ và áp dụng được</t>
  </si>
  <si>
    <t>hodong.huynh@garena.vn</t>
  </si>
  <si>
    <t>tuyenchinh.vo@garena.vn</t>
  </si>
  <si>
    <t>không có</t>
  </si>
  <si>
    <t>Thủ khoa</t>
  </si>
  <si>
    <t>Row Labels</t>
  </si>
  <si>
    <t>Sum of Sum of Learning Hours</t>
  </si>
  <si>
    <t>Column 1</t>
  </si>
  <si>
    <t>Quà Learning</t>
  </si>
  <si>
    <t>Quà Trainer</t>
  </si>
  <si>
    <t>Column 2</t>
  </si>
  <si>
    <t>minhkhoi.nguyen@garena.vn</t>
  </si>
  <si>
    <t>anhphuong.le@garena.vn</t>
  </si>
  <si>
    <t>Huy hiệu</t>
  </si>
  <si>
    <t>Quà tặng 2025</t>
  </si>
  <si>
    <t>Quà trainer</t>
  </si>
  <si>
    <t>Ký nhận</t>
  </si>
  <si>
    <t>Địa điểm</t>
  </si>
  <si>
    <t>anhtu.nguyen@garena.vn</t>
  </si>
  <si>
    <t>Hanoi</t>
  </si>
  <si>
    <t>baoquoc.tongphuoc@garena.vn</t>
  </si>
  <si>
    <t>Ho Chi Minh</t>
  </si>
  <si>
    <t>quochung.khong@garena.vn</t>
  </si>
  <si>
    <t>Standee hình Gà, Cốc in hình Gà</t>
  </si>
  <si>
    <t>mylinh.pham@garena.vn</t>
  </si>
  <si>
    <t>Pin kim loại, Đế lót ly in hình Gà Learning, Standee hình Gà, Cốc in hình Gà</t>
  </si>
  <si>
    <t>quanghuy.duong@garena.vn</t>
  </si>
  <si>
    <t>Đế lót ly in hình Gà Learning, Standee hình Gà</t>
  </si>
  <si>
    <t>tiendat.nguyen@garena.vn</t>
  </si>
  <si>
    <t>Pin kim loại, Đế lót ly in hình Gà Learning, Standee hình Gà</t>
  </si>
  <si>
    <t>Q1</t>
  </si>
  <si>
    <t xml:space="preserve">Đế lót ly in hình Gà Learning, </t>
  </si>
  <si>
    <t>anhtuan.mai@garena.vn</t>
  </si>
  <si>
    <t>Standee hình Gà,</t>
  </si>
  <si>
    <t>thienkhoa.le@garena.vn</t>
  </si>
  <si>
    <t>anhvu.huynh@garena.vn</t>
  </si>
  <si>
    <t>Cốc in hình Gà,</t>
  </si>
  <si>
    <t>viethop.nguyen@garena.vn</t>
  </si>
  <si>
    <t>duytuan.nguyen@garena.vn</t>
  </si>
  <si>
    <t>Pin kim loại, Cốc in hình Gà</t>
  </si>
  <si>
    <t>vietanh.than@garena.vn</t>
  </si>
  <si>
    <t>thuanh.hotran@garena.vn</t>
  </si>
  <si>
    <t>thieuky.tran@garena.vn</t>
  </si>
  <si>
    <t>thucanh.nguyentran@garena.vn</t>
  </si>
  <si>
    <t>ngoctoan.nguyen@garena.vn</t>
  </si>
  <si>
    <t>Cốc in hình Gà, Đế lót ly in hình Gà Learning</t>
  </si>
  <si>
    <t>quochuy.dinh@garena.vn</t>
  </si>
  <si>
    <t>myhanh.luu@garena.vn</t>
  </si>
  <si>
    <t>quangduc.tran@garena.vn</t>
  </si>
  <si>
    <t>quangtuan.dao@garena.vn</t>
  </si>
  <si>
    <t>theviet.nguyen@garena.vn</t>
  </si>
  <si>
    <t>sygiap.nguyen@garena.vn</t>
  </si>
  <si>
    <t>banhat.nguyen@garena.vn</t>
  </si>
  <si>
    <t>Pin kim loại, Đế lót ly in hình Gà Learning</t>
  </si>
  <si>
    <t>quocviet.vuong@garena.vn</t>
  </si>
  <si>
    <t>thanhtung.luu@garena.vn</t>
  </si>
  <si>
    <t>thutrang.pham@garena.vn</t>
  </si>
  <si>
    <t>khaitrien.vuu@garena.vn</t>
  </si>
  <si>
    <t>anhkhoa.nguyen@garena.vn</t>
  </si>
  <si>
    <t>huonggiang.nguyen@garena.vn</t>
  </si>
  <si>
    <t>hoale.vuong@garena.vn</t>
  </si>
  <si>
    <t>theminh.tu@garena.vn</t>
  </si>
  <si>
    <t>theanh.nguyennhu@garena.vn</t>
  </si>
  <si>
    <t>honghanh.nguyen@garena.vn</t>
  </si>
  <si>
    <t>thainam.luong@garena.vn</t>
  </si>
  <si>
    <t>caocuong.tran@garena.vn</t>
  </si>
  <si>
    <t>tienthanh.tran@garena.vn</t>
  </si>
  <si>
    <t>maithanh.le@garena.vn</t>
  </si>
  <si>
    <t>hainguyen.dao@garena.vn</t>
  </si>
  <si>
    <t>huuvuong.nguyen@garena.vn</t>
  </si>
  <si>
    <t>quangvinh.tran@garena.vn</t>
  </si>
  <si>
    <t>ducnam.hoang@garena.vn</t>
  </si>
  <si>
    <t>anhchau.tran@garena.vn</t>
  </si>
  <si>
    <t>huongly.dang@garena.vn</t>
  </si>
  <si>
    <t>quochung.tran@garena.vn</t>
  </si>
  <si>
    <t>hoanganh.cao@garena.vn</t>
  </si>
  <si>
    <t>phuonglinh.pham@garena.vn</t>
  </si>
  <si>
    <t>chithanh.nguyen@garena.vn</t>
  </si>
  <si>
    <t>ngoctram.nguyen@garena.vn</t>
  </si>
  <si>
    <t>thaianh.tran@garena.vn</t>
  </si>
  <si>
    <t>thanhtuan.nguyen@garena.vn</t>
  </si>
  <si>
    <t>phuongthao.dao@garena.vn</t>
  </si>
  <si>
    <t>huuthinh.nguyen@garena.vn</t>
  </si>
  <si>
    <t>vanhiep.mai@garena.vn</t>
  </si>
  <si>
    <t>minhtri.le@garena.vn</t>
  </si>
  <si>
    <t>maiphuong.pham@garena.vn</t>
  </si>
  <si>
    <t>ducthao.tran@garena.vn</t>
  </si>
  <si>
    <t>tienduc.nguyen@garena.vn</t>
  </si>
  <si>
    <t>quoctuan.tran@garena.vn</t>
  </si>
  <si>
    <t>phuongthao.hoang@garena.vn</t>
  </si>
  <si>
    <t>ducanh.le@garena.vn</t>
  </si>
  <si>
    <t>lanchi.vu@garena.vn</t>
  </si>
  <si>
    <t>khaikien.duong@garena.vn</t>
  </si>
  <si>
    <t>chicong.vu@garena.vn</t>
  </si>
  <si>
    <t>minhtri@garena.vn</t>
  </si>
  <si>
    <t>thanhhao.pham@garena.vn</t>
  </si>
  <si>
    <t>quanghuy.truong@garena.vn</t>
  </si>
  <si>
    <t>quanghoat.nguyen@garena.vn</t>
  </si>
  <si>
    <t>hongduc.le@garena.vn</t>
  </si>
  <si>
    <t>haison.tran@garena.vn</t>
  </si>
  <si>
    <t>vananh.tran@garena.vn</t>
  </si>
  <si>
    <t>ngocthanh.nguyen@garena.vn</t>
  </si>
  <si>
    <t>ngoclong.nguyen@garena.vn</t>
  </si>
  <si>
    <t>thanhson.vo@garena.vn</t>
  </si>
  <si>
    <t>linhtrang.tran@garena.vn</t>
  </si>
  <si>
    <t>khanhhoang.tran@garena.vn</t>
  </si>
  <si>
    <t>vananh.le@garena.vn</t>
  </si>
  <si>
    <t>thuba.dinh@garena.vn</t>
  </si>
  <si>
    <t>nhutanh.ho@garena.vn</t>
  </si>
  <si>
    <t>minhtuan.dang@garena.vn</t>
  </si>
  <si>
    <t>tunganh.hoang@garena.vn</t>
  </si>
  <si>
    <t>thibinh.trinh@garena.vn</t>
  </si>
  <si>
    <t>anhtu.le@garena.vn</t>
  </si>
  <si>
    <t>hoanganh.duong@garena.vn</t>
  </si>
  <si>
    <t>tuannguyen.huynh@garena.vn</t>
  </si>
  <si>
    <t>anhphuong.nguyen@garena.vn</t>
  </si>
  <si>
    <t>Sum of Learning Hours</t>
  </si>
  <si>
    <t>Course Name</t>
  </si>
  <si>
    <t>Type</t>
  </si>
  <si>
    <t>Date Start</t>
  </si>
  <si>
    <t>Date End</t>
  </si>
  <si>
    <t>English Online Course (WSE)</t>
  </si>
  <si>
    <t>Training Budget Sponsor</t>
  </si>
  <si>
    <t>Tax Update 2025</t>
  </si>
  <si>
    <t>thanhduy.huynh@garena.vn</t>
  </si>
  <si>
    <t>luong.vo@garena.vn</t>
  </si>
  <si>
    <t>xuanthai.hua@garena.vn</t>
  </si>
  <si>
    <t>vanhoang.nguyen@garena.vn</t>
  </si>
  <si>
    <t>hoaithuong.tran@garena.vn</t>
  </si>
  <si>
    <t>duytu.vo@garena.vn</t>
  </si>
  <si>
    <t>kieuanh.nguyen@garena.vn</t>
  </si>
  <si>
    <t>Marketing Analytics</t>
  </si>
  <si>
    <t>thitrang.nguyen@garena.vn</t>
  </si>
  <si>
    <t>nhi.nguyen@garena.vn</t>
  </si>
  <si>
    <t>thaiha.pham@garena.vn</t>
  </si>
  <si>
    <t>Datapot</t>
  </si>
  <si>
    <t>Aroma</t>
  </si>
  <si>
    <t>PowerBI</t>
  </si>
  <si>
    <t>Python Basic</t>
  </si>
  <si>
    <t>Coursera</t>
  </si>
  <si>
    <t>Xây dựng văn hóa doanh nghiệp và hệ thống truyền thông nội bộ</t>
  </si>
  <si>
    <t>Phân tích dữ liệu cho quyết định chiến lược</t>
  </si>
  <si>
    <t>Advanced Total Rewards Strategy</t>
  </si>
  <si>
    <t>Figma for Designer</t>
  </si>
  <si>
    <t>Đào tạo âm thanh chuyên sâu</t>
  </si>
  <si>
    <t>Trần Tiến Thành</t>
  </si>
  <si>
    <t>Khóa học Data Center ACI Concepts</t>
  </si>
  <si>
    <t>CÔNG TY TNHH GIẢI PHÁP VÀ CHUYỂN GIAO CÔNG NGHỆ PNH</t>
  </si>
  <si>
    <t>Digital Advanced: Digital Foundation &amp; Digital Performance</t>
  </si>
  <si>
    <t>Khóa học Báo cáo và Trình diễn dữ liệu thông minh</t>
  </si>
  <si>
    <t>Tiếng Trung thầy Hưng 23b</t>
  </si>
  <si>
    <t>BA Course 1</t>
  </si>
  <si>
    <t>KPIM Data Analytics</t>
  </si>
  <si>
    <t>BA Course 2</t>
  </si>
  <si>
    <t>dinhphuc.luu@garena.vn</t>
  </si>
  <si>
    <t>phuongthao.tran@garena.vn</t>
  </si>
  <si>
    <t>UI UX Foundation</t>
  </si>
  <si>
    <t>khanhnam.le@sea.com</t>
  </si>
  <si>
    <t>trongnam.nguyen@garena.vn</t>
  </si>
  <si>
    <t>maitrang.huynh@garena.vn</t>
  </si>
  <si>
    <t>minhngoc.phamnguyen@garena.vn</t>
  </si>
  <si>
    <t>congtam.cao@garena.vn</t>
  </si>
  <si>
    <t>huythanh.le@garena.vn</t>
  </si>
  <si>
    <t>trucdoan.nguyen@garena.vn</t>
  </si>
  <si>
    <t>agreement</t>
  </si>
  <si>
    <t>comments</t>
  </si>
  <si>
    <t>courseAuthor</t>
  </si>
  <si>
    <t>courseCertificate</t>
  </si>
  <si>
    <t>courseDuration</t>
  </si>
  <si>
    <t>courseEffect</t>
  </si>
  <si>
    <t>courseEffectByManager</t>
  </si>
  <si>
    <t>courseEndDate</t>
  </si>
  <si>
    <t>courseFee</t>
  </si>
  <si>
    <t>courseFeeByRec</t>
  </si>
  <si>
    <t>courseFreq</t>
  </si>
  <si>
    <t>courseName</t>
  </si>
  <si>
    <t>coursePaymentByRec</t>
  </si>
  <si>
    <t>courseSMART</t>
  </si>
  <si>
    <t>courseStartDate</t>
  </si>
  <si>
    <t>courseTypeByRec</t>
  </si>
  <si>
    <t>courseWeb</t>
  </si>
  <si>
    <t>divider1</t>
  </si>
  <si>
    <t>divider2</t>
  </si>
  <si>
    <t>email</t>
  </si>
  <si>
    <t>form_name</t>
  </si>
  <si>
    <t>id</t>
  </si>
  <si>
    <t>lastUpdatedAt</t>
  </si>
  <si>
    <t>po</t>
  </si>
  <si>
    <t>raisedAt</t>
  </si>
  <si>
    <t>reason</t>
  </si>
  <si>
    <t>status</t>
  </si>
  <si>
    <t>subsidizeLevel</t>
  </si>
  <si>
    <t>subsidizeType</t>
  </si>
  <si>
    <t>team</t>
  </si>
  <si>
    <t>DataPot</t>
  </si>
  <si>
    <t>Test</t>
  </si>
  <si>
    <t>50% chi phí theo khóa học - tương ứng 2.000.000 VNĐ (đã bao gồm 10% VAT)</t>
  </si>
  <si>
    <t>PowerBI Data Analytics</t>
  </si>
  <si>
    <t>Khóa học cấp thiết hỗ trợ theo khóa học (tối đa 17tr/khóa; 34tr/năm)</t>
  </si>
  <si>
    <t>X% chi phí theo khóa học - tương ứng X VNĐ (đã bao gồm 10% VAT)</t>
  </si>
  <si>
    <t>https://datapot.vn/khoa-hoc/power-bi-advanced-data-modeling-and-dax/</t>
  </si>
  <si>
    <t>X</t>
  </si>
  <si>
    <t>Đăng ký Hỗ trợ chi phí Đào tạo</t>
  </si>
  <si>
    <t>closed</t>
  </si>
  <si>
    <t>Cấp thiết: Trực tiếp nâng cao kỹ năng và kiến thức trong lĩnh vực chuyên môn của nhân viên</t>
  </si>
  <si>
    <t>Loại A: Các khóa học cấp chứng chỉ / Hội thảo / Hội nghị / Văn bằng hoặc Bằng cấp (chỉ dành cho học phần) / Nền tảng khóa học trực tuyến mở ví dụ: Udemy</t>
  </si>
  <si>
    <t>RECRUITMENT_AND_TRAINING</t>
  </si>
  <si>
    <t>Adobe</t>
  </si>
  <si>
    <t>ABC</t>
  </si>
  <si>
    <t>Photoshop 2023</t>
  </si>
  <si>
    <t>https://docs.google.com/presentation/d/1UI3grUkAxKz3RrcCHlg0z5Tb2qab2BZ1XzZoukk2wtw/edit#slide=id.g24d0c03fa55_0_2</t>
  </si>
  <si>
    <t>Phần 1: Tổng quan nhu cầu của nhân sự</t>
  </si>
  <si>
    <t>Phần 2: Đề xuất từ bộ phận Đào tạo</t>
  </si>
  <si>
    <t>Loại B: Tài liệu đọc (Sách điện tử / Sách / Bài báo)</t>
  </si>
  <si>
    <t>1h</t>
  </si>
  <si>
    <t>TEst</t>
  </si>
  <si>
    <t>x</t>
  </si>
  <si>
    <t>Đề xuất</t>
  </si>
  <si>
    <t>Em gửi thông báo kết quả phê duyệt + hướng dẫn đăng ký mua &amp; claim chi phí mua tài liệu nhé ạ: https://drive.google.com/file/d/1btSKE-2nWabJ0IRbUIxCXSdamwiXbe6e/view?usp=drive_link</t>
  </si>
  <si>
    <t>100% chi phí của tài liệu - tương ứng 3.500.000 VNĐ</t>
  </si>
  <si>
    <t>Nhân viên tự trả tiền trước và claim theo mã dự án training</t>
  </si>
  <si>
    <t>Hạng mục cấp thiết hỗ trợ theo tài liệu (tối đa 17tr/khóa hoặc tài liệu; tối đa 34tr/năm)</t>
  </si>
  <si>
    <t>Chi tiết nhu cầu của nhân sự đề xuất</t>
  </si>
  <si>
    <t>Chi tiết đề xuất từ bộ phận Đào tạo (dựa trên chính sách Hỗ trợ chi phí Đào tạo của Công ty)</t>
  </si>
  <si>
    <t>BP Đào tạo đề xuất</t>
  </si>
  <si>
    <t>HRBP</t>
  </si>
  <si>
    <t>Account học online, team C&amp;B sử dụng chung</t>
  </si>
  <si>
    <t>VCCI</t>
  </si>
  <si>
    <t>2 ngày</t>
  </si>
  <si>
    <t>Update chính sách quy định của BLLĐ đảm bảo tính compliance các chính sách/hồ sơ liên quan đến lao động của Công ty. Giảm thiểu tối đa các sai sót khi có thanh tra.</t>
  </si>
  <si>
    <t>1000000 VND</t>
  </si>
  <si>
    <t>100% chi phí của tài liệu - tương ứng 1.000.000 VND</t>
  </si>
  <si>
    <t>CHÍNH SÁCH LAO ĐỘNG TIỀN LƯƠNG và BẢO HIỂM XÃ HỘI 2023</t>
  </si>
  <si>
    <t>S: củng cố/cập nhật các quy định mới liên quan đến tính compliance của các chính sách nhân sự M: không có chính sách/quy định nào trái luật A: đảm bảo hệ thống chính sách/văn bản nhân sự đúng đủ R: liên quan đến các chính sách nhân sự khi hướng dẫn nhân viên/thanh kiểm tra T: đánh giá qua các kỳ rà soát chính sách quy định nhân sự</t>
  </si>
  <si>
    <t>Hạng mục cấp thiết hỗ trợ theo khóa (tối đa 17tr/khóa; tối đa 34tr/năm)</t>
  </si>
  <si>
    <t>https://edu.vcciesp.vn/chinh.sach.lao.dong.2023?fbclid=IwAR0HunO6XFHW1F_JhHwNQEOoVUKkv1UKCF5BZPHlCqNmZHQetbQuf0DvU0g</t>
  </si>
  <si>
    <t>CNB</t>
  </si>
  <si>
    <t>Em gửi thông báo kết quả phê duyệt + hướng dẫn đăng ký mua &amp; claim chi phí mua tài liệu nhé ạ: https://drive.google.com/file/d/15NrLZit4G19CexyGuyhzj90UUaACs6Wc/view?usp=sharing</t>
  </si>
  <si>
    <t>1000000 vnd</t>
  </si>
  <si>
    <t>Em gửi thông báo kết quả phê duyệt + hướng dẫn đăng ký khóa học &amp; claim chi phí nhé ạ: https://drive.google.com/file/d/1-v4xdO3ZwLAcKDR6lKMDvK7nCvE5kX6o/view?usp=sharing</t>
  </si>
  <si>
    <t>16 buổi - 32 giờ học</t>
  </si>
  <si>
    <t>Khóa học giúp đạt được các kỹ năng: - Nhập làm sạch và chuyển đổi dữ liệu - Mô hình hóa dữ liệu cho hiệu suất và khả năng mở rộng - Thiết kế và tạo báo cáo để phân tích dữ liệu - Áp dụng và thực hiện phân tích báo cáo nâng cao - Quản lý và chia sẻ nội dung báo cáo - Tạo báo cáo được phân trang trong Power BI Các kỹ năng trên bổ trợ trực tiếp cho công việc phân tích dữ liệu nhằm phát triển công ty.</t>
  </si>
  <si>
    <t>6.048.000 VNĐ (bao gồm 8% VAT - cập nhật theo báo giá mới nhất của Datapot)</t>
  </si>
  <si>
    <t>100% chi phí của khóa học - tương ứng 6.048.000 VNĐ</t>
  </si>
  <si>
    <t>2 buổi 1 tuần</t>
  </si>
  <si>
    <t>ANALYZING DATA WITH POWER BI (Fresher)</t>
  </si>
  <si>
    <t>- S: Bổ sung kiến thức phân tích dữ liệu bằng công cụ Power BI để phục vụ công việc tracking data - M: Đạt mục tiêu xử lý dữ liệu sạch có ý nghĩa để đưa ra quyết định next step phù hợp với team - A: Bắt tay vào cùng phân tích dữ liệu với anh Hải Sơn càng sớm càng tốt - R: Xử lý dữ liệu để đưa ra quyết định phù hợp với định hướng của con game và công ty - T: Hoàn thành khóa học trong 2 tháng ứng dụng luôn vào công việc =&gt; Có khả năng phân tích dữ liệu từ tháng 11 (hoặc sớm hơn).</t>
  </si>
  <si>
    <t>Hạng mục cấp thiết hỗ trợ theo tài liệu (tối đa 17tr/khóa; tối đa 34tr/năm)</t>
  </si>
  <si>
    <t>https://datapot.vn/khoa-hoc/da-100-analyzing-data-with-power-bi/</t>
  </si>
  <si>
    <t>approving</t>
  </si>
  <si>
    <t>AOV</t>
  </si>
  <si>
    <t>Project Management Institute</t>
  </si>
  <si>
    <t>N/A</t>
  </si>
  <si>
    <t>Hiện tại để tăng cường tối ưu hiệu quả hoạt động vận hành giảm bớt nhân sự làm các công việc thủ công như trước kia nên nhu cầu gia tăng nhiều dự án phát triển phần mềm dài hạn có tính chất phức tạp đòi hỏi yêu cầu quản lý dự án ở mức nâng cao và chuyên nghiệp hơn. Do đó cần học thêm khoá học này để áp dụng các mô hình quản lý dự án chuyên nghiệp học thêm nhiều technique để rút ngắn thời gian nâng cao hiệu suất giúp có thể đồng thời xử lý được nhiều dự án với chất lượng tốt hơn phục vụ tốt hơn cho nhu cầu của các team game và công ty. Ngoài ra khoá học cũng cũng cấp nhiều use case để có thể vận dụng trong nhiều tình huống thực tế tăng khả năng hài lòng của các thành viên tham gia dự án.</t>
  </si>
  <si>
    <t>100% chi phí của chứng chỉ - tương ứng $555 ~ 13 436 550 (tỉ giá: 1 USD = 24 210 VNĐ) - chưa tính các thuế phí liên quan đến thanh toán ra nước ngoài &amp; có thể điều chỉnh về tỉ giá tại thời điểm thanh toán</t>
  </si>
  <si>
    <t>Project Management Professional (PMP)®</t>
  </si>
  <si>
    <t>- S: Tôi sẽ tăng cường các kỹ năng quản lý dự án hiệu quả hơn - M: Tôi sẽ đặt mục tiêu nâng cao kỹ năng trên tất cả các phương diện như con người quá trình và hiệu quả kinh doanh - R: Tăng cường hiệu quả trong việc quản lý dự án chuyên nghiệp - T: Tôi sẽ đạt được điều này trong sáu tháng tới =&gt; Tôi sẽ hoàn thành chứng chỉ vào tháng 6 năm 2024</t>
  </si>
  <si>
    <t>https://www.pmi.org/certifications/project-management-pmp</t>
  </si>
  <si>
    <t>CODE</t>
  </si>
  <si>
    <t>Em gửi thông báo kết quả phê duyệt + hướng dẫn đăng ký khóa học &amp; claim chi phí nhé ạ: https://drive.google.com/file/d/1wY6zNRr4ixYm7Nd_ecchXqP5f0nveO7T/view?usp=sharing</t>
  </si>
  <si>
    <t>Công ty TNHH Phát Triển aroma - Aroma Tiếng Anh cho người đi làm</t>
  </si>
  <si>
    <t>40 giờ</t>
  </si>
  <si>
    <t>1. Đặc thù vị trí công việc làm việc với các khu vực khác đối tác nước ngoài. Nâng cao trình độ tiếng anh để nâng cao khả năng giao tiếp trao đổi trong tất cả các dự án.</t>
  </si>
  <si>
    <t>16.380.000 VNĐ</t>
  </si>
  <si>
    <t>50% chi phí của chứng chỉ - tương ứng 8.190.000 VNĐ</t>
  </si>
  <si>
    <t>2-3 buổi/tuần</t>
  </si>
  <si>
    <t>Khóa học tiếng anh Intermediate level</t>
  </si>
  <si>
    <t>- S: Tăng cường kỹ năng giao tiếp khi làm việc với local team hay đối tác nước ngoài. - M: Sau khóa học ngắn hạn có thể xác định được trình độ đặt mục tiêu cải thiện ở mực độ cao hơn và có target rõ ràng bằng chứng chỉ IELTS. - A: Xác định trình độ mục tiêu cho chứng chỉ IELTS. - R: Tối ưu giao tiếp trong giải đoạn chuẩn bị giải đấu APL 2024 tại Thái Lan. - T: Đạt được điều này trong 6 tháng tới khóa học này là bước đầu để cải thiện lại nền tảng ngữ pháp. =&gt; Nâng cao kỹ năng giao tiếp khi làm việc bằng tiếng anh giảm thiểu thời gian khi chuẩn bị các tài liệu bằng tiếng anh (report review sop...etc)</t>
  </si>
  <si>
    <t>Hạng mục bổ trợ - tối đa 8.5 triệu VND/ nội dung</t>
  </si>
  <si>
    <t>http://aroma.vn/tieng-anh-cho-nguoi-di-lam/</t>
  </si>
  <si>
    <t>processing</t>
  </si>
  <si>
    <t>Bổ trợ: Bổ trợ cho các kỹ năng và kiến thức trong lĩnh vực chuyên môn của nhân viên</t>
  </si>
  <si>
    <t>Học viện Công nghệ Bưu Chính Viễn Thông</t>
  </si>
  <si>
    <t>4 5 năm</t>
  </si>
  <si>
    <t>Trong quản lý dự án kiến thức Khoa học Máy tính sẽ giúp tôi rất nhiều như quá trình lập kế hoạch đánh giá hiệu quả lựa chọn giải pháp phù hợp. Điều này sẽ tăng cường khả năng ra quyết định thông minh tối ưu hóa quá trình quản lý và mang lại hiệu suất cao cho dự án. Đặc biệt với sự xuất hiện nhiều dự án mới đòi hỏi nhiều kiến thức chuyên sâu về khoa học máy tính như dự án về AI Blockchain kiến thức vững về Khoa học Máy tính mang lại nền tảng vững chắc cho công việc hiệu quả hơn. Ngoài ra sự hiểu biết vững về Khoa học Máy tính giúp tôi làm việc hiệu quả hơn với đội ngũ dự án cả local và region dễ dàng trao đồi bàn bạc và đưa ra đánh giá và ước tính chính xác hơn cũng như đề xuất những giải pháp sáng tạo. Từ đó tôi có thể quản lý nhiều dự án công nghệ phức tạp nhanh chóng và hiệu quả hơn góp phần hỗ trợ công ty giải quyết nhiều vấn đề về business tiết kiệm chi phí vận hành và tối đa hoá doanh thu.</t>
  </si>
  <si>
    <t>Kỹ sư Khoa học máy tính</t>
  </si>
  <si>
    <t>- S: Tôi sẽ nâng cao kiến thức chuyên môn về các phương pháp phát triển phần mềm nâng cao khả năng quản lý các dự án phần mềm một cách hiệu quả. - M: Tôi sẽ đặt mục tiêu nâng cao kỹ năng trên tất cả các phương diện như kiến thức kỹ năng giải quyết vấn đề nắm bắt nền tảng công nghệ mới - R: cung cấp sự hiểu biết kỹ thuật sâu sắc hơn cho phép tôi đóng góp một cách chiến lược hơn cho các dự án phù hợp với mục tiêu dài hạn của công ty - T: Tôi sẽ đạt được điều này trong ba năm tới =&gt; Tôi sẽ hoàn thành vào năm 2027</t>
  </si>
  <si>
    <t>https://daotao.ptit.edu.vn/nganhhoc/7480101</t>
  </si>
  <si>
    <t>Update</t>
  </si>
  <si>
    <t>Em gửi thông báo kết quả phê duyệt + hướng dẫn đăng ký khóa học &amp; claim chi phí nhé ạ: https://drive.google.com/file/d/1dWty4xDaatC5xcbKbL5lMRyDRQumfo9y/view?usp=drive_link</t>
  </si>
  <si>
    <t>16 buổi</t>
  </si>
  <si>
    <t>Xử lý data cho team AOV Esports Regional và 3 Local teams: VN/TH/TW. Từ đó đưa ra phân tích dữ liệu và kế hoạch marketing tốt hơn cho team Esports.</t>
  </si>
  <si>
    <t>6.264.000 VNĐ (đã bao gồm VAT)</t>
  </si>
  <si>
    <t>100% chi phí của khóa học - tương ứng 6.264.000 VNĐ</t>
  </si>
  <si>
    <t>2 buổi/tuần</t>
  </si>
  <si>
    <t>- S: Bổ sung kiến thức nâng cao phân tích dữ liệu bằng công cụ Power BI để phục vụ công việc tracking data - M: Đạt mục tiêu xử lý dữ liệu sạch có ý nghĩa để đưa ra quyết định next step phù hợp với team - A: Đưa ra phân tích &amp; định hướng tốt hơn cho AOV Esports Regional Team và 2 Locals team còn lại: TH/TW - R: Xử lý dữ liệu để đưa ra quyết định phù hợp với định hướng của con game và công ty - T: Hoàn thành khóa học trong 2 tháng ứng dụng nâng cao được vào công việc=&gt; Có khả năng Xử lý data nâng cao cho team AOV Esports Regional và 3 Local teams: VN/TH/TW</t>
  </si>
  <si>
    <t>Hạng mục cấp thiết - tối đa 17 triệu VND/ khóa/năm</t>
  </si>
  <si>
    <t>tini.phuc@garena.vn</t>
  </si>
  <si>
    <t>Udemy</t>
  </si>
  <si>
    <t>10 hours</t>
  </si>
  <si>
    <t>Hiện tại vấn đề cải thiện trải nghiệm của người dùng chưa được chú trọng do đó cần cập nhật kiến thức và sharing đến các PO desingers để cùng phối hợp đưa ra sản phẩm mang tới trải nghiệm tốt hơn cho người dùng đặc biệt trên phiên bản mobile.</t>
  </si>
  <si>
    <t>User Experience Design Fundamentals</t>
  </si>
  <si>
    <t>- S: Ôn tập và phát triển kiến thức cho buổi sharing sắp tới - M: Tôi sẽ đặt mục tiêu nâng cao kiến thức đồng thời phổ biến kiến thức cho các team khác - R: Tăng cường hiệu quả trong việc cải thiện trải nghiệm người dùng trên mobile - T: Tôi sẽ đạt được điều này trong một tháng tới =&gt; Tôi sẽ dự kiến có buổi sharing vào tháng 4</t>
  </si>
  <si>
    <t>https://www.udemy.com/course/user-experience-design-fundamentals/</t>
  </si>
  <si>
    <t>Em gửi thông báo kết quả phê duyệt + hướng dẫn đăng ký khóa học &amp; claim chi phí nhé ạ: https://drive.google.com/file/d/1yHL7KDjuiMr3p7JbthSXRnzCQ-Ah5hL2/view?usp=drive_link</t>
  </si>
  <si>
    <t>1 month</t>
  </si>
  <si>
    <t>Python giúp phân tích dữ liệu tạo trực quan hóa dữ liệu giúp phân tích dữ liệu hiệu quả hơn =&gt; Hỗ trợ tốt trong việc thống kê dữ lliệu và sự so sánh dữ liệu giữa các campaign tốt hơn giúp việc planning cho các campaign sau hiệu quả hơn</t>
  </si>
  <si>
    <t>49$</t>
  </si>
  <si>
    <t>50% của khóa học - tương ứng 673.241 VNĐ (đã bao gồm 5% VAT và 5% CIT)</t>
  </si>
  <si>
    <t>3 days per week</t>
  </si>
  <si>
    <t>S: Tìm hiểu Python để hỗ trợ tôi trong việc phát triển các data tool phục vụ hiệu quả trobg quá trình làm việc dễ dàng hơn trong việc trao đổi với code team. M: Giảm 20 - 30% thời gian planning manage scope công việc và check data trong quá trình vận hành campaign. A: Tôi đặt mục tiêu tạo ra 1 hệ thống thống kê data và kiểm soát scope công việc + planning dễ follow up hơn. R: Kiểm soát scope tốt đẻ tăng hiệu quả công việc giảm bớt thời gian execute T: Dự kiến có logic rõ ràng trong 1 tháng sau khi hoàn thành khóa học sau đó sẽ tiến hành các bước tiếp theo với các team liên quan</t>
  </si>
  <si>
    <t>Hạng mục bổ trợ - tối đa 8.5 triệu VND / nội dung</t>
  </si>
  <si>
    <t>https://www.coursera.org/learn/python</t>
  </si>
  <si>
    <t>FC Online</t>
  </si>
  <si>
    <t>Em gửi thông báo kết quả phê duyệt + hướng dẫn đăng ký khóa học &amp; claim chi phí nhé ạ: https://drive.google.com/file/d/1H9sgA00u5V181zTB8-MgzeN-0X4CRal1/view?usp=drive_link</t>
  </si>
  <si>
    <t>ELITE PR SCHOOL</t>
  </si>
  <si>
    <t>6 buổi</t>
  </si>
  <si>
    <t>Đạt được các mục tiêu theo goal setting committed</t>
  </si>
  <si>
    <t>6.000.000 VNĐ (chưa VAT)</t>
  </si>
  <si>
    <t>100% của khóa học - tương ứng 6.000.000 VNĐ (chưa VAT)</t>
  </si>
  <si>
    <t>- S: Thiết kế các hoạt động TTNB thiết thực thu hút và tăng engagement rate trong năm 2024 (~90%) - M: Xây dựng được tiêu chí phương thức đo lường và đánh giá hiệu quả các hoạt động TTNB - A: Biết cách khảo sát phân tích đặc trưng văn hoá từ đó xây dựng được nền móng và các trụ cột văn hoá doanh nghiệp. Nắm được cấu trúc hệ thống quy trình hoạch định kế hoạch truyền thông nội bộ hợp lý. - R: Cải thiện được các hoạt động nội bộ sẽ dẫn đến sự gắn kết giữa các nhân viên và công ty. Ngoài ra đồng bộ thông tin truyền thông nội bộ cho thấy được sự chuyên nghiệp và nhất quán từ công ty -&gt; tiền đề để xây dựng văn hoa riêng.- T: Cải thiện được đo lường từ số lượng và chất lượng theo từng quý/ từng sự kiện và dự án truyền thông</t>
  </si>
  <si>
    <t>Hạng mục cấp thiết - tối đa 17 triệu VND / nội dung</t>
  </si>
  <si>
    <t>https://eliteprschool.edu.vn/van-hoa-doanh-nghiep-ttnb/</t>
  </si>
  <si>
    <t>Bổ sung thêm về mục tiêu học tập</t>
  </si>
  <si>
    <t>PEOPLE</t>
  </si>
  <si>
    <t>Em gửi thông báo kết quả phê duyệt + hướng dẫn đăng ký khóa học &amp; claim chi phí nhé ạ: https://drive.google.com/file/d/1W-oXtcal3X3F_9Y3vswRaUOBNsoPKULw/view?usp=sharing</t>
  </si>
  <si>
    <t>Tomorrow marketers</t>
  </si>
  <si>
    <t>12 buổi</t>
  </si>
  <si>
    <t>Cải thiện hệ thống tracking dữ liệu kết quả với KPI cho các hoạt động MKT của team. Training lại cho các thành viên trong team quy trình và mindset phân tích dữ liệu khi đưa ra quyết định trong các hoạt động MKT</t>
  </si>
  <si>
    <t>5.750.000 VND</t>
  </si>
  <si>
    <t>100% của khóa học - tương ứng 5.750.000 VNĐ (VAT 0%)</t>
  </si>
  <si>
    <t>S: Cải thiện hệ thống tracking dữ liệu kết quả với KPI cho các hoạt động MKT của team M: Đặt mục tiêu thu hút tổng new user và churn user back của FCO trong quý 2 đạt 1.2M A: Training lại cho các thành viên trong team quy trình và mindset phân tích dữ liệu khi đưa ra quyết định trong các hoạt động MKT R: Tăng trưởng người dùng cho thấy sự phát triển của tựa game T: Đạt được điều này trong 2 tháng tới sau đó đánh giá lại trước khi lập kế hoạch cho các bước tiếp theo</t>
  </si>
  <si>
    <t>https://www.tomorrowmarketers.org/data-analysis-course</t>
  </si>
  <si>
    <t>BP Đào tạo cập nhật đề xuất</t>
  </si>
  <si>
    <t>Em gửi hướng dẫn thanh toán và đăng ký, tham gia khóa học nhé ạ: 
 https://drive.google.com/file/d/1NT6B4a9kn5QEY5wv14oA12rab6RIJ-bG/view?usp=sharing</t>
  </si>
  <si>
    <t>16 buổi - 32 giờ</t>
  </si>
  <si>
    <t>Tăng hiệu suất làm việc tự chủ động quản lý và tìm ra những giải pháp tối ưu hơn cho dự án dựa trên số liệu</t>
  </si>
  <si>
    <t>100% của khóa học - tương ứng 6.480.000 VNĐ (bao gồm VAT 8%)</t>
  </si>
  <si>
    <t>PowerBI Data Analytics Basic</t>
  </si>
  <si>
    <t>Học lý thuyết bài bản về công cụ Power BI để sử dụng từ cơ bản tới nâng cao</t>
  </si>
  <si>
    <t>3KD</t>
  </si>
  <si>
    <t>W3School</t>
  </si>
  <si>
    <t>1 Year</t>
  </si>
  <si>
    <t>Tự động hóa các task đang làm có khả năng giải quyết task chuyên sâu</t>
  </si>
  <si>
    <t>149.99 USD/Year</t>
  </si>
  <si>
    <t>50% của nội dung - tương ứng 1.894.599 (chưa bao gồm CIT và VAT)</t>
  </si>
  <si>
    <t>Subcribe Trang Web học các ngôn ngữ lập trình như Python</t>
  </si>
  <si>
    <t>Biết dùng thành thạo Python và SQL cho công việc</t>
  </si>
  <si>
    <t>https://www.w3schools.com/</t>
  </si>
  <si>
    <t>FF</t>
  </si>
  <si>
    <t>Em gửi hướng dẫn thanh toán và đăng ký, tham gia khóa học nhé ạ: https://drive.google.com/file/d/18tJB4Rt8SdGgjxlZPYbc5RUclvjFU5EB/view?usp=drive_link</t>
  </si>
  <si>
    <t>Talentnet</t>
  </si>
  <si>
    <t>1 ngày</t>
  </si>
  <si>
    <t>Từ kiến thức của khóa học này có thể tư vấn những trend của thị trường tới business và tìm cách truyền thông/trao đổi về lương thưởng total rewards một cách hiệu quả hơn giúp cải thiện employee engagement và satisfaction về rewards</t>
  </si>
  <si>
    <t>6 600 000 VND</t>
  </si>
  <si>
    <t>100% của nội dung - tương ứng 6 600 000 (chưa bao gồm VAT)</t>
  </si>
  <si>
    <t>1 lần</t>
  </si>
  <si>
    <t>Bổ sung kiến thức về Total Rewards của thị trường để phục vụ công việc phân tích đánh giá lương thưởng và communication một cách hiệu quả về lương thưởng</t>
  </si>
  <si>
    <t>https://tln.talentnet.vn/eshop/advanced-total-rewards-strategy</t>
  </si>
  <si>
    <t>vietthang.dinh@garena.vn</t>
  </si>
  <si>
    <t>Đăng ký Hỗ trợ chi phí Đào tạo cho 5 thành viên phòng kế toán:
 1. Ngô Thị Phương Liên
 2. Lê Thị Thanh
 3. Nguyễn Thị Thu Trang
 4. Nguyễn Thu Trang
 5. Trần Thu Trang,,Already got approval from ZY. @HR team, please help to support us. Thanks ,Do sát ngày nên slot cho ngày training gần nhất chỉ còn cho 2 người. Ngoài ra KPMG có tư vấn là khóa học không chuyên sâu, khóa học chỉ mang tính chất giới thiệu, chủ yếu cho người nước ngoài học nên team Finance quyết định không theo khóa học này nữa ạ.</t>
  </si>
  <si>
    <t>KPMG Việt Nam</t>
  </si>
  <si>
    <t>3 tháng</t>
  </si>
  <si>
    <t>1. Nâng cao chuyên môn nghiệp vụ về kế toán và lập báo cáo tài chính phù hợp với quy định về kế toán 2. Sau khi kết thúc khóa học các thành viên tham dự khóa học sẽ về training lại cho các thành viên trong phòng không tham dự khóa học để bổ sung và nâng cao kiến thức</t>
  </si>
  <si>
    <t>VND 10 625 000 (VND5tr x 5 pax x 50% x 85%)</t>
  </si>
  <si>
    <t>100% - tương ứng 10 625 000</t>
  </si>
  <si>
    <t>2 buổi chiều mỗi tháng</t>
  </si>
  <si>
    <t>Chương trình đào tạo về Tài chính Kế toán năm 2024 tổ chức bởi KPMG</t>
  </si>
  <si>
    <t>- Bổ sung kiến thức nâng cao nghiệp vụ chuyên môn Tài chính kế toán - Rà soát lại các nghiệp vụ kế toán của công ty để điều chỉnh (nếu có) - Lập báo cáo tài chính năm phù hợp với quy định về kế toán - Hoàn thành khóa học trong 3 tháng ứng dụng nâng cao được vào công việc</t>
  </si>
  <si>
    <t>https://29bb37d36e4a4a70a9a35b2b4966a3ce.marketingusercontent.com/m/view/r1lmePK07U4tJGijD3u6j9xP8UBTlFjXqxLckQUwKXIx</t>
  </si>
  <si>
    <t>FAC</t>
  </si>
  <si>
    <t>Em gửi hướng dẫn đăng ký học và thanh toán cho anh Thành nhé ạ: https://drive.google.com/file/d/1ujIzkd95wPsCv1yrrm684iP75HJ2s-U-/view?usp=drive_link</t>
  </si>
  <si>
    <t>TELOS.vn</t>
  </si>
  <si>
    <t>4 tuần</t>
  </si>
  <si>
    <t>Figma có những ưu điểm vượt trội photoshop trong việc thiết kế UI. 1. rút ngắn thời gian giao tiếp &amp; tracking khi Nhiều thành viên có thể làm chung trong một project. Requester làm wireframe và designer thiết kế &amp; dev trên cùng 1 giao diện 2. (Chế độ dev mod) Dev có thể copy paste nhanh được mã màu font chữ size chữ khoảng cách lề… - Designer khi làm xong có thể check được luôn CSS trông như nào màu có lệch so với thiết kế không chữ có lệch không... siêu dễ để tự tinh chỉnh lại mà không cần chờ FE dev làm xong mới feedback 3. Plugin - Anima giúp con gà như e có thể export file thiết kế thành CSS trong 5s do máy làm. Dev có thể tận dụng 1 phần code được viết sẵn - Anima có thể export tất cả các file ảnh trong thiết kế thành file png/ jpg dev đỡ phải cắt từng tấm ảnh thủ công - Remove BG giúp tách background nhanh lẹ - Batch Styler giúp tạo style guideline nhanh lẹ có thể thay đổi màu sắc và font chữ hàng loạt thay vì chọn từng layer thủ công</t>
  </si>
  <si>
    <t>4.400.000 VNĐ (đã bao gồm VAT)</t>
  </si>
  <si>
    <t>100% - tương ứng 4.400.000 VNĐ</t>
  </si>
  <si>
    <t>Khoá học FIGMA DÀNH CHO DESIGNER/ DEVELOPER</t>
  </si>
  <si>
    <t>Mục tiêu khoá học: Nắm vững và Sử dụng thành thạo figma Ứng dụng figma vào công việc thiết kế UI ilua và UI cũng như các website của team.</t>
  </si>
  <si>
    <t>https://telos.vn/khoa-hoc-thiet-ke-giao-dien-voi-figma/</t>
  </si>
  <si>
    <t>Nhập sai ngày kết thúc khoá học!</t>
  </si>
  <si>
    <t>Em gửi hướng dẫn thanh toán và đăng ký học nhé ạ: https://drive.google.com/file/d/1rJtARzFiuHr0nCGtQjpMR3k9y6gLxu9H/view?usp=drive_link</t>
  </si>
  <si>
    <t>Figma có những ưu điểm vượt trội photoshop trong việc thiết kế UI. 1. Rút ngắn thời gian trao đổi feedback &amp; tracking khi nhiều thành viên có thể làm chung trong một project. Requester làm wireframe và designer thiết kế &amp; dev trên cùng giao diện. 2. (Chế độ dev mod) Dev có thể copy paste nhanh được mã màu font chữ size chữ khoảng cách lề... -Designer khi làm xong có thể check được luôn CSS trông như nào (thông số màu/chữ/bố cục có lệch so với thiết kế không) từ đó trực tiếp chỉnh lại mà không cần phải chờ tới feedback của FE dev sau khi làm xong. 3.Plugin - Anima giúp export file thiết kế thành CSS do máy làm. Dev có thể tận dụng 1 phần code được viết sẵn - Anima có thể export tất cả các file ảnh trong thiết kế thành file png/ jpg dev đỡ phải cắt từng tấm ảnh thủ công - Remove background giúp tách background nhanh lẹ - Batch Styler giúp tạo style guideline nhanh lẹ có thể thay đổi màu sắc và font chữ hàng loạt thay vì chọn từng layer thủ công</t>
  </si>
  <si>
    <t>4.400.000 VND (đã bao gồm VAT)</t>
  </si>
  <si>
    <t>Khóa học FIGMA dành cho Designer/Developer</t>
  </si>
  <si>
    <t>Nắm vững và sử dụng thành thạo figma ứng dụng vào công việc thiết kế UI sự kiện ingame và UI cũng như các website phục vụ cho mục đích truyền thông của team.</t>
  </si>
  <si>
    <t>Em gửi hướng dẫn thanh toán và đăng ký học nhé ạ: https://drive.google.com/file/d/1Iry4EzFyDyAL6nkdBdMyv5Ej6VPWd-hn/view?usp=drive_link</t>
  </si>
  <si>
    <t>• Nâng cao kỹ năng thiết kế UI/UX: Tạo giao diện đẹp trực quan thu hút users. • Tăng hiệu quả làm việc: Tự động hóa tối ưu hóa quy trình thiết kế tiết kiệm thời gian. • Giao tiếp cộng tác tốt hơn: Làm việc nhóm hiệu quả chia sẻ ý tưởng dễ dàng. • Phát triển tư duy sáng tạo: Thử nghiệm ý tưởng mới tạo trải nghiệm esports độc đáo.</t>
  </si>
  <si>
    <t>Mục tiêu khoá học: - Nắm vững và Sử dụng thành thạo figma - Ứng dụng figma vào công việc thiết kế UI</t>
  </si>
  <si>
    <t>withdraw điểu chỉnh lại nội dung,Em gửi kết quả phê duyệt và hướng dẫn đăng ký học &amp; thanh toán cho anh Đông nhé ạ: https://drive.google.com/file/d/1ZpNDQNE4fuIAcC6ND32gsmfNFsooZvK8/view,Case study về tính hiệu quả của khóa học:
 Headsets bình luận viên: hiện tại studio có 9 headsets dùng cho bình luận các trận đấu và có khá nhiều loại khác nhau, trước kia việc mua các headsets này là dựa vào kinh nghiệm + trải nghiệm. Tuy nhiên sau khóa học đã hiểu rõ hơn về tính chất hoạt động riêng của từng Micro đi kèm theo headset và chức năng của nó dùng để làm gì. Vì vậy sẽ quyết định câu chuyện sẽ dùng cho trường hợp nào để phát huy hết công năng và nhu cầu về âm thanh.
 Ví dụ: case làm sự kiện.
 Trước khóa học: dư headsets nào thì lấy ra làm event.
 Sau khóa học: Nên chọn Headsets có mirco hyperCardioid (Model: HMD), micro này bắt sóng phía trước bình luận viên 1 góc 90 độ và khả năng bắt sóng tạp âm giữa hai bên vai và phía trước ít hơn so với dòng cardioid (Model: HME bắt góc 120 độ ) vì vậy sẽ tái tạo âm thanh được tốt hơn.</t>
  </si>
  <si>
    <t>Pro sound Academy</t>
  </si>
  <si>
    <t>12 buổi (1 buổi tương đương 3 giờ học)</t>
  </si>
  <si>
    <t>Vận hành hệ thống âm thanh cho các giải đấu big offline bên ngoài chất lượng hơn mạng lại trải nghiệm tốt hơn cho người xem livestream.</t>
  </si>
  <si>
    <t>8.500.000 VNĐ chưa bao gồm 8% VAT</t>
  </si>
  <si>
    <t>100% - tương ứng 9 180 000 (đã bao gồm 8% VAT)</t>
  </si>
  <si>
    <t>Trọn bộ khóa học đào tạo âm thanh chuyên sâu (ứng dụng streaming và event)</t>
  </si>
  <si>
    <t>Bổ sung kiến thức nâng cao và đào sâu hơn kỹ năng chuyên môn về lĩnh vực Âm thanh. Qua đó có thể giúp ích khâu huấn luyện đào tạo chuyên sâu các kỹ năng cơ bản cho các bạn đang làm việc tại Studio xa hơn là huấn luyện cho các bạn cộng tác viên mới đủ để hiểu đúng và đủ rộng ứng dụng vào công việc một cách khoa học. Thông qua khóa học có thể kết hợp được kiến thức thực tiễn trải nghiệm đã từng trải + bổ trợ mới từ khóa học giúp đưa ra các nhận định đúng nhanh và quyết đoán hơn. Giảm thời gian xử ký các vấn đề liên quan đến âm thanh livestream bên ngoài các sự kiện do Công ty tổ chức.</t>
  </si>
  <si>
    <t>https://www.facebook.com/people/Vietnam-Prosound-Academy/100063690095130/</t>
  </si>
  <si>
    <t>STUDIO</t>
  </si>
  <si>
    <t>Em gửi kết quả phê duyệt, hướng dẫn đăng ký học và lộ trình học tập cho anh Hoạt nhé ạ
 - Kết quẳ phê duyệt &amp; hướng dẫn đăng ký học: https://drive.google.com/file/d/1ZVXw3mmcZY4u97vXJk26AMhxQHcDR1n5/view?usp=drive_link
 - Lộ trình học tập: https://docs.google.com/document/d/1bX82Wup4zKpd7V66dqHq4j33R27gZX1J/edit?usp=drive_link&amp;ouid=106903727602178885851&amp;rtpof=true&amp;sd=true</t>
  </si>
  <si>
    <t>Trao đổi với đối tác nước ngoài tốt hơn phục vụ công việc trao đổi thông tin giao tiếp và trao đổi được với đối tác nước ngoài - Specific (Cụ thể) : Thành thạo tiếng Anh có thể giao tiếp được với các đồng nghiệp nước ngoài hoặc thuyết trình ý tưởng với các team global bằng tiếng Anh</t>
  </si>
  <si>
    <t>50% - tương ứng 4.132.500 VNĐ</t>
  </si>
  <si>
    <t>20h30 – 22h00 T3 &amp; T5 hàng tuần</t>
  </si>
  <si>
    <t>Khóa học nâng cao trình độ tiếng anh</t>
  </si>
  <si>
    <t>- Measurable : Đạt mục tiêu giao tiếp bằng tiếng anh với đối tác thông qua các buổi họp trình bày được các ý tưởng với đồng nghiệp và team nước ngoài - Actionable : làm và tạo các nội dung để chia sẻ trong team và các vùng khác - Relevant : Tăng cường thêm ngoại ngữ giúp đẩy nhanh hiệu quả công việc và độ chính xác cao hơn - Time-Bound: 6 tháng</t>
  </si>
  <si>
    <t>Em gửi kết quả phê duyệt, hướng dẫn đăng ký học và lộ trình học tập cho anh Thao nhé ạ
 - Kết quẳ phê duyệt &amp; hướng dẫn đăng ký học: https://drive.google.com/file/d/1ZUHZcGpu8If47vJf656XP3LYQV-y6tcw/view?usp=drive_link
 - Lộ trình học tập: https://docs.google.com/document/d/1dwMgOvwMjiOFqcxrrvsbg92jzyzp-Eiw/edit?usp=drive_link&amp;ouid=106903727602178885851&amp;rtpof=true&amp;sd=true</t>
  </si>
  <si>
    <t>5 tháng</t>
  </si>
  <si>
    <t>Thi thoảng em sẽ cần phải làm việc với bên vùng nhưng do bị hạn chế về ngôn ngữ nên hầu như đều nhờ đồng nghiệp/sếp present giúp. Vậy nên em mong muốn bản thân cần phải thành thạo tiếng Anh có thể giao tiếp được với các đồng nghiệp nước ngoài hoặc thuyết trình ý tưởng với các team global bằng tiếng Anh</t>
  </si>
  <si>
    <t>8 265 000 VNĐ</t>
  </si>
  <si>
    <t>- Specific (Cụ thể) : Thành thạo tiếng Anh có thể giao tiếp được với các đồng nghiệp nước ngoài hoặc thuyết trình ý tưởng với các team global bằng tiếng Anh - Measurable (Có thể Đo lường được) : Thành công trình bày ý tưởng của mình với các đồng nghiệp nước ngoài từ các buổi họp global. - Actionable (Tính Khả thi) : Trình bày các phương án phát triển kênh quản lý KOLs tối ưu quy trình quản lý KOLs cho global team. - Relevant (Sự Liên quan) : Trao đổi kiến thức của bản thân với global team - Time-Bound (Thời hạn đạt được mục tiêu) : 6 tháng.</t>
  </si>
  <si>
    <t>Em gửi ý kiến của anh Minghao Xie, quản lý trực tiếp của team Infra VN về khóa học của Lê Khánh Nam nhé ạ.
 Nhờ anh Công review và approve giúp em nhé. Em cảm ơn ạ.,Em gửi hướng dẫn đăng ký và thanh toán cho anh Nam nhé ạ: https://drive.google.com/open?id=1_Lr6j_LfpfCRACt1sPJuoPxp0oVfAcuD&amp;usp=drive_fs</t>
  </si>
  <si>
    <t>Cisco</t>
  </si>
  <si>
    <t>8h</t>
  </si>
  <si>
    <t>1. Nâng cao kiến thức kỹ năng thiết kế triển khai: Các dự án như mở rộng Freefire tại IDC VTHL mở rộng cụm Shopeepay 100G build up IDC mới tại Hòa Lạc cần triển khai một số mô hình mới và một số dòng thiết bị mới cần am hiểu thiết kế mô hình Enterprise/Data center để triển khai trong thời gian ngắn. 2. Nâng cao kinh nghiệm vận hành và xử lý sự cố đảm bảo chất lượng dịch vụ tới khách hàng: Chứng chỉ CCIE yêu cầu kỹ năng troubleshooting ở level expert nhằm đáp ứng SLA khắc phục sự cố trong thời gian ngắn đảm bảo chất lượng dịch vụ điều này mang ý nghĩa rất lớn khi áp dụng vào công việc để cho khách hàng trải nghiệm tốt nhất. 3. Nâng cao khả năng học hỏi trong công việc: Việc đạt được chứng chỉ này là tiền đề để hướng tới các chứng chỉ Expert level khác như CCIE Data center Devnet Security... từ đó ứng dụng được vào tất cả các mặt của công việc Network Engineer tối ưu hạ tầng giảm thiểu chi phí vận hành bằng các công nghệ mới tối ưu năng suất làm việc.</t>
  </si>
  <si>
    <t>1600 USD</t>
  </si>
  <si>
    <t>100% - tương ứng 17.000.000 VNĐ</t>
  </si>
  <si>
    <t>Thi chứng chỉ CCIE Enterprise Infrastructure</t>
  </si>
  <si>
    <t>Bổ sung kiến thức nâng cao trình độ lên level Expert trong networking</t>
  </si>
  <si>
    <t>https://learningnetwork.cisco.com/s/ccie-enterprise</t>
  </si>
  <si>
    <t>SA_INFRA</t>
  </si>
  <si>
    <t>Wall Street English</t>
  </si>
  <si>
    <t>Giao tiếp tiếng Anh tốt hơn giúp giảm thời gian giao tiếp trao đổi trong các dự án tăng hiệu suất làm việc với các khu vực</t>
  </si>
  <si>
    <t>Khóa học Tiếng Anh Wall Street English</t>
  </si>
  <si>
    <t>Hoàn thành khóa học trong 2 tháng ứng dụng nâng cao được vào công việc</t>
  </si>
  <si>
    <t>https://wallstreetenglish.edu.vn/khoa-hoc-tieng-anh/nguoi-di-lam?utm_term=Lead&amp;utm_campaign=WSEVN_NW_NonBranded_ProductFits_Lead_Google&amp;utm_source=ppc&amp;utm_medium=Google&amp;hsa_acc=2735763208&amp;hsa_cam=18173127804&amp;hsa_grp=147383282544&amp;hsa_ad=618917380235&amp;hsa_src=g&amp;hsa_tgt=dsa-1732094963205&amp;hsa_kw=&amp;hsa_mt=&amp;hsa_net=adwords&amp;hsa_ver=3&amp;gad_source=1&amp;gclid=CjwKCAjwyo60BhBiEiwAHmVLJSuoF-yun3N3pLxdadAjvPpORwDKBIjWIpDvSZWFAIoqkkq8gDgiFBoCObIQAvD_BwE</t>
  </si>
  <si>
    <t>Em gửi link lộ trình khóa học của anh Đào Hồng Đức ạ: https://docs.google.com/document/d/1_4zWo3MFIiD8GJ8jgppyyNIBNg2Ax0Az/edit?usp=sharing&amp;ouid=106903727602178885851&amp;rtpof=true&amp;sd=true
 ,Em gửi hướng dẫn đăng ký và thanh toán khóa học nhé ạ: https://drive.google.com/file/d/1_Zq4-laNlPTKrxioAIuNE_6bFXi7gKes/view?usp=drive_link</t>
  </si>
  <si>
    <t>6 tháng</t>
  </si>
  <si>
    <t>19.570.000 VNĐ</t>
  </si>
  <si>
    <t>50% - tương ứng 9.785.000 VNĐ</t>
  </si>
  <si>
    <t>Khóa học Tiếng Anh Wall Street English (Level 7)</t>
  </si>
  <si>
    <t>Sau 6 tháng đi từ Level 7 -&gt; Level 8 theo khung của trung tâm - Thành thạo tiếng anh có thể giao tiếp được với các đồng nghiệp nước ngoài- Trình bày được các nội dung với các đồng nghiệp nước ngoài từ các buổi họp- Trình bày được các phương án giúp cho việc liên quan tới quy trình vận hành giải server giải</t>
  </si>
  <si>
    <t>Bổ sung thông tin</t>
  </si>
  <si>
    <t>Em gửi link lộ trình khóa học của anh Dương Đức ạ: https://docs.google.com/document/d/1_A1Dv_VhIsB-5wmsH8TAdzaabf6SOhsT/edit#heading=h.gjdgxs,Em gửi hướng dẫn đăng ký và thanh toán khóa học nhé ạ: https://drive.google.com/file/d/1_boXRnb6c--4R9BtLrA5oj3k-AlyiFsc/view?usp=drive_link</t>
  </si>
  <si>
    <t>Tăng được hiệu quả trong quá trình trao đổi thông tin rõ ràng hơn về việc tiếp nhận chia sẻ ý tưởng đến với những khu vực khác.</t>
  </si>
  <si>
    <t>19.570.000 VNĐ (9.785.000 VNĐ/level)</t>
  </si>
  <si>
    <t>50% - tương ứng 4.892.500 VND / level (nội dung) - Tổng cộng 2 level (nội dung): 9.785.000 VNĐ</t>
  </si>
  <si>
    <t>Khóa học Tiếng Anh Wall Street English (level 4 &amp; 5)</t>
  </si>
  <si>
    <t>Nhân viên tự trả tiền trước và claim theo mã dự án training khi hoàn thành theo từng level (nội dung)</t>
  </si>
  <si>
    <t>Sau 6 tháng từ level 4 lên level 5. Mục tiêu học xong: trao đổi thông tin với các đồng nghiệp bên vùng / trình bày và thống nhất được các phương án / đề xuất ý tưởng cũng như thảo luận về các chủ đề xoay quanh công việc chính. Công việc hiện tại cần giao tiếp với nhiều đồng nghiệp tại các khu vực khác nhau về nội dung công việc nên sẽ cần tiếng anh để thông suốt thông tin để không bị gián đoạn. Cần học và cải thiện thêm về mặt ngôn ngữ để nâng cao trình độ bản thân đạt được nhiều cơ hội công việc hơn trong tương lai.</t>
  </si>
  <si>
    <t>Chi tiết nhu cầu nhân sự đề xuất</t>
  </si>
  <si>
    <t>minhduc.duong@garena.vn</t>
  </si>
  <si>
    <t>Em gửi lộ trình khóa học của anh Đức ạ: https://docs.google.com/document/d/1_7HNraQr5tu7b0F_SM-OU993Dw4_pR9D/edit#heading=h.gjdgxs,Em gửi hướng dẫn đăng ký và thanh toán khóa học nhé ạ: https://drive.google.com/file/d/1_a5A9QmjnqRVt2aw8e7TAsh7XUeKbOf1/view?usp=drive_link</t>
  </si>
  <si>
    <t>Công việc cần giao tiếp với các vùng khác trao đổi dễ dàng hơn trong các dự án qua đó giúp cải thiện hiệu suất công việc</t>
  </si>
  <si>
    <t>Khóa học Tiếng Anh Wall Street English (level 2 &amp; 3)</t>
  </si>
  <si>
    <t>- Trong thời gian 6 tháng hoàn thành khóa học từ level 2 đến level 3. - Thành thạo tiếng anh để có thể giao tiếp với team ở các khu vực khác. Tham gia các buổi họp 1 cách chủ động hơn để nắm bắt được các công việc và triển khai tốt nhất phục vụ cho công việc liên quan đến MKT Community. - Có thể chủ động raise các ý tưởng liên quan đến công việc mà không bị phụ thuộc vào công cụ phiên dịch</t>
  </si>
  <si>
    <t>Các khoá học trên INE rất chất lượng và chuyên sâu cho ngành IT. Các khoá học giúp bổ sung kiến thức chuyên ngành cho team Infra.,Em gửi hướng dẫn đăng ký học và thanh toán cho anh Cường nha ạ.</t>
  </si>
  <si>
    <t>INTERNETWORK EXPERT (INE)</t>
  </si>
  <si>
    <t>3h53m</t>
  </si>
  <si>
    <t>- Nâng cao kiến thức kỹ năng thiết kế triển khai: Các dự án như mở rộng Freefire tại IDC VTHL mở rộng cụm Shopeepay 100G build up IDC mới tại Hòa Lạc cần triển khai một số mô hình mới và một số dòng thiết bị mới yêu cầu network engineer cần am hiểu thiết kế mô hình Enterprise/Data center để triển khai trong thời gian ngắn. Ngoài ra dự án moving IDC trong đầu năm 2025 yêu cầu hàm lượng chất xám cao trong việc thiết kế triển khai mô hình mới loại bỏ các thiết kế cũ đã lỗi thời.- Nâng cao kinh nghiệm vận hành và xử lý sự cố đảm bảo chất lượng dịch vụ tới khách hàng: Các khóa học expert level bổ sung kỹ năng troubleshooting cho cả Network và Dc Engineer nhằm đáp ứng SLA khắc phục sự cố trong thời gian ngắn đảm bảo chất lượng dịch vụ điều này mang ý nghĩa rất lớn khi áp dụng vào công việc để cho khách hàng trải nghiệm tốt nhất.- Bổ sung kiến thức về các công nghệ đang up trend: Các khóa học expert level về các lĩnh vực cyber security data science automation cloud bổ sung các kiến thức nền tảng và chuyên sâu nhằm đáp ứng các yêu cầu ngày càng nâng cao trong công việc: tăng cường bảo mật cho hệ thống tối ưu hóa work flow tự động hóa công việc hàng ngày nâng cao chất lượng hạ tầng đáp ứng các tiêu chuẩn kỹ thuật mới phục vụ security audit...- Nâng cao chất lượng nhân sự: Các khóa học trực tiếp hướng tới việc đạt được các chứng chỉ high và expert level trực tiếp nâng cao chất lượng nhân sự cho team SA-Infrastructure.</t>
  </si>
  <si>
    <t>549 USD</t>
  </si>
  <si>
    <t>100% - tương ứng 549 USD = 13.686.570 (theo tỉ giá Vietcombank ngày 05/09/2024)</t>
  </si>
  <si>
    <t>Bổ sung kiến thức nâng cao trình độ về Data Center</t>
  </si>
  <si>
    <t>Hạng mục cấp thiết - tối đa 17 triệu VNĐ / nội dung</t>
  </si>
  <si>
    <t>ine.com</t>
  </si>
  <si>
    <t>huycuong.nguyen@sea.com</t>
  </si>
  <si>
    <t>Sửa thông tin khóa học</t>
  </si>
  <si>
    <t>Em gửi hướng dẫn đăng ký học và thanh toán cho Phương nhé ạ</t>
  </si>
  <si>
    <t>16 buổi - 32h</t>
  </si>
  <si>
    <t>Từ data có thể tự sửa lỗi mà không cần nhờ tới bộ phân khác trực tiếp lấy dữ liệu ứng biến kịp thời khi đọc data để đề bạt next step trong các campaign</t>
  </si>
  <si>
    <t>6.264.000 VNĐ (đã bao gồm 8% VAT)</t>
  </si>
  <si>
    <t>100% của khóa học - tương ứng 6.264.000 VNĐ (đã bao gồm 8% VAT)</t>
  </si>
  <si>
    <t>2 buổi/tuần - thứ 2 và thứ 5</t>
  </si>
  <si>
    <t>Học cách xử lý dữ liệu và phân tích collect lỗi có trong data sẵn có ứng dụng trực tiếp vào các campaign đang và sắp diễn ra</t>
  </si>
  <si>
    <t>Em gửi hướng dẫn đăng ký học và thanh toán cho chị Linh nhé ạ.</t>
  </si>
  <si>
    <t>32 giờ</t>
  </si>
  <si>
    <t>Từ data có thể phân tích sâu hơn để tìm ra những giải pháp tối ưu trong việc tăng trưởng doanh thu</t>
  </si>
  <si>
    <t>100% của khóa học - tương ứng 6.264.000 VNĐ (bao gồm VAT 8%)</t>
  </si>
  <si>
    <t>2 buổi / tuần</t>
  </si>
  <si>
    <t>Approved,Em gửi anh Thắng hướng dẫn đăng ký học và thanh toán nhé ạ</t>
  </si>
  <si>
    <t>64h</t>
  </si>
  <si>
    <t>Khi một **network engineer** trong công ty học **DevOps** họ có thể mang lại nhiều lợi ích cho doanh nghiệp. Dưới đây là 5 điểm chính: 1. **Tối ưu hóa hiệu suất vận hành mạng**: Với DevOps network engineers có thể tự động hóa các tác vụ mạng giảm thiểu lỗi thủ công từ đó giúp hệ thống vận hành trơn tru và ổn định hơn giảm thời gian downtime. 2. **Rút ngắn thời gian triển khai hạ tầng**: Sử dụng mô hình Infrastructure as Code (IaC) giúp việc triển khai và cấu hình mạng nhanh chóng và có thể lặp lại dễ dàng từ đó đẩy nhanh tốc độ triển khai dự án và dịch vụ. 3. **Cải thiện sự phối hợp giữa các bộ phận**: DevOps khuyến khích sự cộng tác chặt chẽ giữa các nhóm phát triển vận hành và mạng giúp giải quyết vấn đề nhanh chóng và nâng cao hiệu quả công việc đặc biệt trong các dự án lớn. 4. **Tăng cường bảo mật và giám sát mạng**: Network engineers có thể sử dụng các công cụ DevOps để giám sát hệ thống theo thời gian thực và phát hiện xử lý sớm các rủi ro bảo mật từ đó bảo vệ hạ tầng mạng của công ty. 5. **Tối ưu hóa chi phí hạ tầng**: Tự động hóa và quản lý tài nguyên thông qua DevOps giúp công ty tiết kiệm chi phí bằng cách giảm nhu cầu về nhân lực quản lý sử dụng tài nguyên hiệu quả hơn và tránh lãng phí do sai sót trong cấu hình. Những lợi ích này giúp công ty hoạt động hiệu quả hơn an toàn hơn và tiết kiệm thời gian chi phí trong dài hạn.</t>
  </si>
  <si>
    <t>100% - tương ứng 10.500.000 VNĐ</t>
  </si>
  <si>
    <t>20-22h Thứ 3 5 7 hàng tuần</t>
  </si>
  <si>
    <t>KHÓA HỌC DEVOPS PRO</t>
  </si>
  <si>
    <t>- Tự động hóa cấu hình mạng: Network engineers sẽ hiểu và sử dụng các công cụ như Ansible Terraform để tự động hóa quá trình cấu hình và quản lý hạ tầng mạng giúp giảm sai sót và tăng hiệu suất công việc. - Quản lý hệ thống hạ tầng mạng linh hoạt: DevOps giúp network engineers xây dựng hạ tầng mạng theo mô hình Infrastructure as Code (IaC) giúp dễ dàng triển khai cấu hình và mở rộng mạng nhanh chóng. - Tích hợp CI/CD cho quản lý mạng: Với DevOps network engineers có thể tích hợp quy trình Continuous Integration/Continuous Deployment (CI/CD) để tự động kiểm thử và triển khai các thay đổi về mạng tăng tính ổn định và hiệu quả. - Giám sát và quản lý sự cố hiệu quả hơn: DevOps trang bị kỹ năng sử dụng các công cụ giám sát (như Prometheus Grafana ELK Stack) giúp network engineers có khả năng phát hiện xử lý sự cố nhanh chóng và chính xác hơn. - Tư duy phát triển và vận hành đồng bộ: Khi học DevOps network engineers hiểu sâu hơn về sự liên kết giữa phát triển phần mềm và hạ tầng mạng giúp cải thiện quá trình phối hợp giữa các đội ngũ phát triển và vận hành trong doanh nghiệp.</t>
  </si>
  <si>
    <t>https://pnh.vn/khoa-hoc-devops-pro/</t>
  </si>
  <si>
    <t>SA_IT</t>
  </si>
  <si>
    <t>Em gửi hướng dẫn đăng ký học và thanh toán cho anh Thế Anh nhé ạ.</t>
  </si>
  <si>
    <t>16 buổi - 32 tiếng</t>
  </si>
  <si>
    <t>Từ data có thể phân tích sâu hơn để tìm ra những giải pháp tối ưu trong việc tăng trưởng user</t>
  </si>
  <si>
    <t>Xử lý dữ liệu để đưa ra quyết định phù hợp với định hướng của sản phẩm và công ty</t>
  </si>
  <si>
    <t>Chiều thứ 7 hàng tuần 1h30 - 5h30</t>
  </si>
  <si>
    <t>Vận hành hệ thống CNTT nâng cao bảo mật hệ thống</t>
  </si>
  <si>
    <t>15 triệu</t>
  </si>
  <si>
    <t>Khóa học CISSP</t>
  </si>
  <si>
    <t>Nâng cao nhận thức và các tiêu chuẩn bảo mật của ngành CNTT</t>
  </si>
  <si>
    <t>https://pnh.vn/khoa-hoc-cissp/</t>
  </si>
  <si>
    <t>khanhhoang.tran1@garena.vn</t>
  </si>
  <si>
    <t>thay đổi ngày kết thúc khóa học</t>
  </si>
  <si>
    <t>Tomorrow Marketer</t>
  </si>
  <si>
    <t>garenahr@garena.vn</t>
  </si>
  <si>
    <t>FCO</t>
  </si>
  <si>
    <t>Nguyễn Ngọc Long</t>
  </si>
  <si>
    <t>Dương Khải Kiên</t>
  </si>
  <si>
    <t>Đào Hồng Đức</t>
  </si>
  <si>
    <t>Tô Lê Nam</t>
  </si>
  <si>
    <t>Trần Trung Hải Sơn</t>
  </si>
  <si>
    <t>Lê Trần Thiện Khoa</t>
  </si>
  <si>
    <t>Nguyễn Thị Mỹ Trâm</t>
  </si>
  <si>
    <t>Huỳnh Nguyễn Anh Vũ</t>
  </si>
  <si>
    <t>Lưu Thanh Tùng</t>
  </si>
  <si>
    <t>Phúc Thị Tí Nị</t>
  </si>
  <si>
    <t>Trần Minh Khôi</t>
  </si>
  <si>
    <t>Trần Thái Anh</t>
  </si>
  <si>
    <t>Đào Quang Tuấn</t>
  </si>
  <si>
    <t>Vưu Khai Triển</t>
  </si>
  <si>
    <t>Trần Quốc Hưng</t>
  </si>
  <si>
    <t>Phạm Mỹ Linh</t>
  </si>
  <si>
    <t>Trần Đức Thao</t>
  </si>
  <si>
    <t>Phạm Phương Linh</t>
  </si>
  <si>
    <t>Lưu Thị Mỹ Hạnh</t>
  </si>
  <si>
    <t>Đào Hải Nguyên</t>
  </si>
  <si>
    <t>Nguyễn Thế Việt</t>
  </si>
  <si>
    <t>Nguyễn Hoài Trúc Đoan</t>
  </si>
  <si>
    <t>Phan Huyền Anh</t>
  </si>
  <si>
    <t>Đặng Hương Ly</t>
  </si>
  <si>
    <t>Đào Phương Thảo</t>
  </si>
  <si>
    <t>Hồ Trần Thu Anh</t>
  </si>
  <si>
    <t>Cao Hoàng Anh</t>
  </si>
  <si>
    <t>Đinh Quốc Huy</t>
  </si>
  <si>
    <t>Huỳnh Thị Mai Trang</t>
  </si>
  <si>
    <t>Nguyễn Sỹ Giáp</t>
  </si>
  <si>
    <t>Lê Huy Thanh</t>
  </si>
  <si>
    <t>Cao Công Tâm</t>
  </si>
  <si>
    <t>Dương Quang Huy</t>
  </si>
  <si>
    <t>Trần Thiệu Kỳ</t>
  </si>
  <si>
    <t>Không</t>
  </si>
  <si>
    <t>Dấu thời gian</t>
  </si>
  <si>
    <t>Workshop</t>
  </si>
  <si>
    <t>Địa chỉ email</t>
  </si>
  <si>
    <t>Department/Team
 Phòng ban</t>
  </si>
  <si>
    <t>Topic feedback</t>
  </si>
  <si>
    <t>PPS</t>
  </si>
  <si>
    <t>Studio</t>
  </si>
  <si>
    <t>Chưa có</t>
  </si>
  <si>
    <t>Hiện tại chưa có</t>
  </si>
  <si>
    <t>Không có ạ</t>
  </si>
  <si>
    <t>Đánh giá trải nghiệm của bạn [Trải nghiệm chung với toàn bộ dịch vụ đào tạo được cung cấp]</t>
  </si>
  <si>
    <t>Đánh giá trải nghiệm của bạn [Mức độ hài lòng với giải pháp / nội dung đào tạo]</t>
  </si>
  <si>
    <t>Đánh giá trải nghiệm của bạn [Mức độ hài lòng với giảng viên / đối tác / tổ chức cung cấp nội dung]</t>
  </si>
  <si>
    <t>Đánh giá trải nghiệm của bạn [Mức độ hài lòng với công tác tổ chức và hỗ trợ của Bộ phận Đào tạo?]</t>
  </si>
  <si>
    <t>Vui lòng chia sẻ một điều mà bạn học được và có thể áp dụng trong thực tế công việc sau dịch vụ đào tạo này? (Tùy chọn trả lời)</t>
  </si>
  <si>
    <t>Vui lòng chia sẻ thêm các phản hồi /gợi ý khác của bạn để cải thiện chất lượng đào tạo?
Tùy chọn trả lời</t>
  </si>
  <si>
    <t>Khảo sát Văn hóa doanh nghiệp.</t>
  </si>
  <si>
    <t>Rất tốt rồi ạ.</t>
  </si>
  <si>
    <t>Khóa học cung cấp mindset về việc áp dụng Phân tích số liệu vào công việc. Từ vấn đề của doanh nghiệp, lập issue tree để xác định những loại dữ liệu cần thu thập, phân tích và đưa ra solution phù hợp. Khóa học cũng nhấn mạnh, số liệu phải được kết hợp với business insight để đưa ra solution phù hợp. Nếu chỉ dựa trên số liệu mà không kết hợp với business insight sẽ dễ dẫn đến nhận định và giải pháp không phù hợp. Cách sử dụng cơ bản Power BI trong việc xử lý dữ liệu và thực hiện báo cáo. Sau khóa học, có thể áp dụng việc thiết lập file collect report từ các dự án marketing, xử lý số liệu bằng power BI và thiết lập báo cáo, từ đó có thể đưa ra các giải pháp marketing dựa trên số liệu (kết hợp business insight).</t>
  </si>
  <si>
    <t>Lịch dạy của khóa đào tạo có 3 lần trainer báo bận đột xuất và lớp nghỉ, dẫn đến việc ảnh hưởng việc sắp xếp lịch học và làm việc của mình. .</t>
  </si>
  <si>
    <t>Trainer &amp; đối tác</t>
  </si>
  <si>
    <t>Một vài điểm tâm đắc sau khóa học: 1. Kiến thức về Audio: - Chuẩn hóa kiến thức: Sau khi tham gia khóa học đãchuẩn hóa và nắm vững các kiến thức về thiết bị và quy cách vận hành một cách rõ ràng hơn. Không còn mơ hồ hoặc không hiểu là đúng hay là sai. - Hiểu quy tắc và nguyên lý: nắm được các quy tắc và nguyên lý hoạt động của các thiết bị Audio dùng trong phòng thu và hệ thống vận hành cho các sự kiện. Điều này giúp thiết lập mới hoặc tái thiết lập một cách hiệu quả hơn. - Tiếp thu kiến thức hệ thống chuyên nghiệp: học thêm về các hệ thống chuyên nghiệp dùng cho các sự kiện lớn, từ đó có thể tìm hiểu sâu hơn về nguyên nhân gốc rễ nếu có và tối ưu hóa chi phí cũng như trải nghiệm người nghe hơn. 2. Giải pháp thiết bị: Hiểu sâu về hoạt động thiết bị: nắm rõ cách thức hoạt động của mỗi thiết bị và biết cách áp dụng, triển khai phù hợp theo từng không gian và nhu cầu thực tế, qua đó giúp tối ưu chi phí và hiệu suất. case study:
Headsets bình luận viên: hiện tại studio có 9 headsets dùng cho bình luận các trận đấu và có khá nhiều loại khác nhau, trước kia việc mua các headsets này là dựa vào kinh nghiệm + trải nghiệm. Tuy nhiên sau khóa học đã hiểu rõ hơn về tính chất hoạt động riêng của từng Micro đi kèm theo headset và chức năng của nó dùng để làm gì. Vì vậy sẽ quyết định câu chuyện sẽ dùng cho trường hợp nào để phát huy hết công năng và nhu cầu về âm thanh.
Ví dụ: case làm sự kiện.
Trước khóa học: dư headsets nào thì lấy ra làm event.
Sau khóa học: Nên chọn Headsets có mirco hyperCardioid (Model: HMD), micro này bắt sóng phía trước bình luận viên 1 góc 90 độ và khả năng bắt sóng tạp âm giữa hai bên vai và phía trước ít hơn so với dòng cardioid (Model: HME bắt góc 120 độ ) vì vậy sẽ tái tạo âm thanh được tốt hơn.</t>
  </si>
  <si>
    <t>Vốn dĩ khi làm 3KD vẫn dùng PBI hàng ngày nhưng sau khóa học đã hiểu tường tận hơn.</t>
  </si>
  <si>
    <t>Bản thân thấy khá may vì chọn được lớp ưng ý để đi học sớm. Do đó nếu ai có nhu cầu đi học thì nên chia sẻ sớm với HR team để tối ưu thời gian tốt nhất.</t>
  </si>
  <si>
    <t>hệ thống component giúp đẩy nhanh công việc thiết kế website..</t>
  </si>
  <si>
    <t>Tư duy hệ thống trong Figma đã giúp tôi cải thiện đáng kể trong thời gian hoàn thành sản phẩm (cụ thể là thiết kế trang web sự kiện dẫn từ Game)..</t>
  </si>
  <si>
    <t>Đã có thể sử dụng phần mềm Figma ở mức cơ bản, có thể ứng dụng cho việc thiết kế giao diện đúng quy chuẩn hơn về sau.</t>
  </si>
  <si>
    <t>PPT</t>
  </si>
  <si>
    <t>Advanced Total Rewards có 1 số chart có thể áp dụng để đánh giá bottleneck cho Garena. Các mô hình trả lương thưởng đối với từng thời kỳ phát triển của một doanh nghiệp nên khác nhau, VD từ start up đến growth, maintaining và Shrinking nên có mô hình khác nhau.</t>
  </si>
  <si>
    <t>khanhnam.le@garena.vn</t>
  </si>
  <si>
    <t>Infra</t>
  </si>
  <si>
    <t>Khóa học này cung cấp các kiến thức bổ ích và cấp thiết để dần đưa công nghệ VXLAN EVPN và SDN vào triển khai trong Data center, tối ưu hóa công việc vận hành, đặc biệt cấp thiết trong việc triển khai dự án mở rộng cụm FreeFire tại VTHL IDC trong tháng 10 này.</t>
  </si>
  <si>
    <t>Nếu có thể hi vọng bộ phận đào tạo có thể tối ưu hóa quy trình phê duyệt nhanh gọn hơn nhé.</t>
  </si>
  <si>
    <t>Đã lên được visualise report + viết code + input data cơ bản để lên được báo cáo về số liệu - tuy nhiên chưa lên được các data dẫn link hoặc lấy link do chưa học hoặc phần này liên quan đến advance .</t>
  </si>
  <si>
    <t>- Nhiều giáo viên hướng dẫn + lớp rất đông nên không xác định nổi là cần nhờ ai để giải đáp thắc mắc - Sửa bài tập về nhà thường chiếm 1 tiếng thậm chí hơn, lý thuyết học 30 phút sau đó làm bài tập và lố giờ tương đối nhiều.</t>
  </si>
  <si>
    <t>- Sau khoá học cũng cải thiện hơn về kỹ năng nghe - Thêm tự tin hơn khi trao đổi công việc với các khu vực thông qua giải đấu tháng 2 vừa rồi..</t>
  </si>
  <si>
    <t>Hiểu được rõ ràng về tư duy Digital Marketing, cụ thể hơn là chạy OM. Hiểu hơn về thuật toán hoạt động ở 1 số nền tảng social khác để áp dụng vào việc chạy dự án về sau.</t>
  </si>
  <si>
    <t>Học online nên đôi lúc tương tác và khả năng tiếp thu không được hiệu quả cho lắm.</t>
  </si>
  <si>
    <t>Ff</t>
  </si>
  <si>
    <t>Khóa học hữu ích trong việc xây dựng mindset phân tích dữ liệu và quy trình thực hiện tư duy phân tích. Học được cách đặt câu hỏi đúng trước khi bắt tay vào xây dựng dashboard. Biết cách suy nghĩ theo hướng "business-driven", nghĩa là mọi biểu đồ, chỉ số hiển thị đều phải phục vụ cho mục tiêu phân tích cụ thể. Các ví dụ trong khóa học rất gần gũi với thực tế doanh nghiệp. Mình có nền tảng Excel hoặc hiểu biết cơ bản về dữ liệu nên nội dung học khá thú vị và gây được sự hứng thú để tìm hiểu sâu hơn. .</t>
  </si>
  <si>
    <t>Tôi đã có tiến bộ rõ rệt trong việc đọc và nói tiếng Trung, tuy nhiên chưa đủ để apply luôn vào công việc hiện tại. Cần take thêm 1-2 courses nữa..</t>
  </si>
  <si>
    <t>Giao tiếp với dev vùng hiệu quả hơn.</t>
  </si>
  <si>
    <t>Nội dung đề xuất của bạn</t>
  </si>
  <si>
    <r>
      <rPr>
        <b/>
        <sz val="10"/>
        <color theme="1"/>
        <rFont val="Arial"/>
      </rPr>
      <t>Đánh giá trải nghiệm của bạn</t>
    </r>
    <r>
      <rPr>
        <sz val="10"/>
        <color theme="1"/>
        <rFont val="Arial"/>
      </rPr>
      <t xml:space="preserve"> [Trải nghiệm chung với toàn bộ dịch vụ đào tạo được cung cấp]</t>
    </r>
  </si>
  <si>
    <r>
      <rPr>
        <b/>
        <sz val="10"/>
        <color theme="1"/>
        <rFont val="Arial"/>
      </rPr>
      <t>Đánh giá trải nghiệm của bạn</t>
    </r>
    <r>
      <rPr>
        <sz val="10"/>
        <color theme="1"/>
        <rFont val="Arial"/>
      </rPr>
      <t xml:space="preserve"> [Mức độ hài lòng với giải pháp / nội dung đào tạo]</t>
    </r>
  </si>
  <si>
    <r>
      <rPr>
        <b/>
        <sz val="10"/>
        <color theme="1"/>
        <rFont val="Arial"/>
      </rPr>
      <t>Đánh giá trải nghiệm của bạn</t>
    </r>
    <r>
      <rPr>
        <sz val="10"/>
        <color theme="1"/>
        <rFont val="Arial"/>
      </rPr>
      <t xml:space="preserve"> [Mức độ hài lòng với giảng viên / đối tác / tổ chức cung cấp nội dung]</t>
    </r>
  </si>
  <si>
    <r>
      <rPr>
        <b/>
        <sz val="10"/>
        <color theme="1"/>
        <rFont val="Arial"/>
      </rPr>
      <t>Đánh giá trải nghiệm của bạn</t>
    </r>
    <r>
      <rPr>
        <sz val="10"/>
        <color theme="1"/>
        <rFont val="Arial"/>
      </rPr>
      <t xml:space="preserve"> [Mức độ hài lòng với công tác tổ chức và hỗ trợ của Bộ phận Đào tạo (Garena)?]</t>
    </r>
  </si>
  <si>
    <t>Vui lòng chia sẻ một điều mà bạn học được và có thể áp dụng trong thực tế công việc sau dịch vụ đào tạo này?</t>
  </si>
  <si>
    <r>
      <rPr>
        <b/>
        <sz val="10"/>
        <color theme="1"/>
        <rFont val="Arial"/>
      </rPr>
      <t>Vui lòng chia sẻ thêm các phản hồi /gợi ý khác của bạn để cải thiện chất lượng đào tạo?</t>
    </r>
    <r>
      <rPr>
        <i/>
        <sz val="10"/>
        <color theme="1"/>
        <rFont val="Arial"/>
      </rPr>
      <t xml:space="preserve">
Tùy chọn trả lời</t>
    </r>
  </si>
  <si>
    <t>Gửi chứng chỉ hoàn thành khóa của bạn tại đây nhé!</t>
  </si>
  <si>
    <t>Đánh giá trải nghiệm của bạn [Row 5]</t>
  </si>
  <si>
    <t>- Tool: Figma
- Doc: BRD, FDR, SRS
- Framework quản lý dự án: Sprint, Agile</t>
  </si>
  <si>
    <t>Kì vọng hơn về việc cách viết site map, logic; các logic khi thiêt kế UI UX (đo bằng click,...etc). Nói chung khóa học provide framework ở mức cơ bản</t>
  </si>
  <si>
    <t>Huyền Anh</t>
  </si>
  <si>
    <t>Bộ câu hỏi 5W 1H kèm các tài liệu giúp phân tích đề bài, hiểu nhu cầu của requester / bản thân rõ hơn</t>
  </si>
  <si>
    <t>Nếu BPĐT gom hết tài liệu vào 1 link drive cty rồi share lại cho lớp để lưu trữ thì toẹt vời ạ :D</t>
  </si>
  <si>
    <t>Phưng</t>
  </si>
  <si>
    <t>Scrum/Agile/Waterfall ==&gt; Tuy more relate to dev nhưng nói chung xài được</t>
  </si>
  <si>
    <t>Figma</t>
  </si>
  <si>
    <t>Sử dụng Figma, cách phân chia lên plan task và đầu công việc</t>
  </si>
  <si>
    <t>Có thể làm tốt hơn trong các dự án sắp tới về mặt wireframe, sắp xếp tốt bố cục và tối ưu hóa giao diện</t>
  </si>
  <si>
    <t>Trà Anh</t>
  </si>
  <si>
    <t>Thanks chị Nhân vì đã share rất nhiều kiến thức liên quan tới việc đánh giá một Business, trong đó có phần cảm thấy nhận được nhiều kiến thức nhất là phần liên quan đến Stakeholders.</t>
  </si>
  <si>
    <t>Công tác chuẩn bị của team Đào tạo rất tốt, nỗ lực sắp xếp thời gian để mọi staff có thể tham gia học được, đặc biệt là với team eSports FF phải đi công tác liên tục. Very appreciate!!!</t>
  </si>
  <si>
    <t>- Kiến thức ở khóa này hơi chung chung và chỉ dừng lại ở lý thuyết là chủ yếu (cái này em nghĩ là do em đặt kỳ vọng hơi cao trước khi học ạ :))
- Các kiến thức mà bọn em mong chờ nhất là figma thì lại được dạy hơi lộn xộn, mà em nghĩ lý do chính là vì anh thầy giáo dạy (anh này nói vừa nhỏ lại vừa run run, xong nói còn không theo thứ tự gì nên khó tiếp cận, em toàn phải hỏi lại)
- Còn lại mọi thứ đều ổn ạ</t>
  </si>
  <si>
    <t>Mỹ Linh</t>
  </si>
  <si>
    <t>Giảng viên dạy lướt và các ví dụ đưa ra không thiết thực với công việc của mình lắm nên mình cảm thấy mình chỉ có thể nắm được lý thuyết cơ bản. Lý thuyết cô dạy cũng không khác gì tự đọc slide.
Các ví dụ nên được customize lấy trực tiếp từ công việc thực tế của mình hiện tại, ví dụ như các web event team đã / đang làm. Cô đưa ra 1 số ví dụ ko liên quan như app CGV, không ai dùng và team không làm app bao giờ nên cảm thấy khó rút kinh nghiệm, áp dụng vào công việc.
Nếu tập trung dạy lý thuyết thì có thể hướng dẫn mọi người học base trên Coursera trước</t>
  </si>
  <si>
    <t>Hiểu hơn 1 chút về drawio nên sử dụng nhiều hơn trong dự án H5</t>
  </si>
  <si>
    <t>Lớp học này đang hơi bị động. Nếu có thể nên có bước tìm hiểu trước các nội dung của khóa học để có góc nhìn, sau đó đưa ra các vấn đề từ bản thân thực tế trong nội dung từng buổi học</t>
  </si>
  <si>
    <t>Thông qua khóa học có thể hiểu rõ hơn về công việc vẫn từng làm khi lên kế hoạch, vẽ mock-up, làm việc với Code để ra được sản phẩm. Dự kiến có thể áp dụng để chi tiết hơn trong các khâu lên mock-up với design &amp; code.</t>
  </si>
  <si>
    <t>Thế Anh</t>
  </si>
  <si>
    <t>Trang</t>
  </si>
  <si>
    <t>Lên kế hoạch hợp lí với list công việc cần thực hiện theo mức độ ưu tiên, biết mẹo đặt câu hỏi với các bên liên quan để làm rõ yêu cầu cho tính năng</t>
  </si>
  <si>
    <t>Để tăng hiệu quả, nên giao bài tập về nhà hoặc bài tập thực hành cùng 1 dạng dự án/tính năng xuyên suốt từ bài 1 đến bài cuối để các bài học có kết nối và tính thực dụng.</t>
  </si>
  <si>
    <t>Bộ kỹ năng trong việc quản lý dự án</t>
  </si>
  <si>
    <t>Thực tế thì nó đang không khác gì việc thực hành trước sau đó mới học căn bản của lý thuyết. Cho dù nội dung học cải thiện được rất nhiều nhưng nếu như được thì các bài học trong đó nên đi sâu vào chuyên ngành của cty mình thì tốt hơn.</t>
  </si>
  <si>
    <t>Ứng dụng Figma để dựng mock up và demo cho website, có thể áp dụng đối với các vị trí cần làm về web nhiều trong team như product</t>
  </si>
  <si>
    <t>nhìn chung phần nội dung của cô Nhân về quản lý dự án khá khái quát về lý thuyết nền tảng, định nghĩa, không quá mới đối với Senior, nhưng có thể hữu ích cho các bạn junior hơn</t>
  </si>
  <si>
    <t xml:space="preserve">Sử dụng tool draw.io để vẽ wireframe H5 </t>
  </si>
  <si>
    <t>Phòng học sau 6h tối bí và nóng, bật quạt thì hơi ồn. Còn lại thì ok ạ.</t>
  </si>
  <si>
    <t>Trước khi học một kiến thức mới thì không hiểu gì về nó nhưng học xong mới thấy nó hữu ích. Cảm ơn team HR đã hỗ trợ mọi người tiếp cận những kiến thức mới và cần thiết để phát triển bản thân.
Các phần hữu ích nhất với bản thân: mô hình làm việc waterfall / agile &amp; câu hỏi 5W1H khai thác requirement từ stakeholders</t>
  </si>
  <si>
    <t>Mình có học thử online ở văn phòng HCM vài buổi thì cảm giác những hôm học ở SG dễ bị miss thông tin buổi học hơn, ví dụ nhiều vấn đề về đề bài hoặc thông tin không hỏi được trực tiếp.
Nếu được mình nghĩ việc gom và phân ra ở 2 văn phòng đều học offline thì sẽ tiện trong việc truyền đạt kiến thức và hiểu bài hơn.</t>
  </si>
  <si>
    <t>Trọng Nam</t>
  </si>
  <si>
    <t>Cách đặt câu hỏi để xác minh vấn đề, tìm ra những dữ liệu cần thiết để trao đổi cùng dev và xây dựng hệ thống</t>
  </si>
  <si>
    <t>Phần học UI UX web và dùng Figma khá thú vị, tuy nhiên khó thực hành vì Figma khá rắc rối, nên tách ra thành 2 khóa học
Phần BA thì thực ra nặng về lý thuyết và kh specifically catered cho ngành game nên cảm giác kh relevant. Những cái relevant như cách manage project thì nên dành cho các bạn junior hơn</t>
  </si>
  <si>
    <t>Chủ yếu về tư duy, mindset
- Cách tư duy ra quyết định bằng các dữ liệu
- Cách đưa ra danh sách các chỉ số ảnh hưởng đến kế hoạch, dự án, quyết định của mình: chỉ số nào ảnh hưởng, tại sao lại ảnh hưởng</t>
  </si>
  <si>
    <t>khâu hậu cần của bên này làm không ổn lắm, lịch học thì lùi nhiều, thay đổi lịch học tới từ trung tâm thì báo sát nên khó sắp xếp công việc</t>
  </si>
  <si>
    <t>Tổng hợp lại kiến thức về phân tích dữ liệu dựa vào các dimensions và metrics khác nhau. Biết thêm 1 công cụ free để tạo báo cáo (Google Looker Studio).</t>
  </si>
  <si>
    <t>- Giảng viên ổn, nhiệt tình, truyền đạt dễ hiểu.
- Cuối buổi yêu cầu mỗi học viên tổng kết lại 1 điều mà mình tâm đắc nhất trong buổi hôm đó -&gt; giúp ghi nhớ kiến thức thôi cuối buổi.
- BTC PMAX thiếu chuyên nghiệp. Lịch học thay đổi nhiều so với ban đầu (3 lần). Thông báo nghỉ và đổi buổi quá sát, không cho học viên đủ thời gian để sắp xếp.
- Tài liệu không được gửi qua email để lưu lâu dài, chỉ được chat vào group Zalo nên trôi.</t>
  </si>
  <si>
    <t>Sau khi trải qua khóa học đã học được các công thức tính toán số liệu , cách làm 1 dashboard để theo dõi số liệu
Học được tư duy và cách lấy số, từ đó đã áp dụng suy luận để lấy thêm chỉ số theo dõi hiệu quả công việc.</t>
  </si>
  <si>
    <t>Về trung tâm giảng dạy không chuyên nghiệp, thường xuyên thay đổi lịch học rất gấp và nội dung buổi học không đi sâu và giảng dạy và thao tác thực hành rất nhanh</t>
  </si>
  <si>
    <t>Hiểu được cách pull data và đọc hiểu data</t>
  </si>
  <si>
    <t>Vẫn như những khóa trước, em nghĩ giảng viên lấy 1 vài ví dụ liên quan đến ngành game thì sẽ cảm thấy hứng thú khi học hơn</t>
  </si>
  <si>
    <t>Vễ diagram, hiểu hơn về các cái mình làm theo bản năng</t>
  </si>
  <si>
    <t>Tôi đã thay đổi và áp dụng thực hiện các phần về copy writing, UX writing và call to actions một cách hiệu quả hơn vào dự án hiện tại.</t>
  </si>
  <si>
    <t>Giảng viên truyền đạt rõ ràng, mạch lạc, chau chuốt, slide rõ ràng, trực quan</t>
  </si>
  <si>
    <t>Cách kiến trúc thông tin và khả năng sử dụng sản phẩm</t>
  </si>
  <si>
    <t>Đề nghị khóa học ít lý thuyết hơn 1 chút ạ :)</t>
  </si>
  <si>
    <t>https://drive.google.com/open?id=1hLhNuCxNlMOdiLas2__vx_vFCUrckQLL</t>
  </si>
  <si>
    <t>Hiện tại khá ok rồi</t>
  </si>
  <si>
    <t>https://drive.google.com/open?id=1Lb51GKxIDUcb56Es-HWJOWVAoUx6KYw7</t>
  </si>
  <si>
    <t xml:space="preserve">Có thể vẽ wireframe nhanh và tạo prototype để cho bên design và code có thể hiểu rõ hơn user flow đi như thế nào. </t>
  </si>
  <si>
    <t>Tài liệu đào tạo, nội dung okay, đầy đủ, dễ hiểu.</t>
  </si>
  <si>
    <t>https://drive.google.com/open?id=13z5sCBz59YdVlQN7f6GUAEkML3GcHkp0</t>
  </si>
  <si>
    <t>Cách sử dụng Figma như 1 công cụ để thiết kế 1 wireframe cơ bản, có thể làm ref cho các website sự kiện MKT sắp tới để làm việc với các bên dễ dàng hơn</t>
  </si>
  <si>
    <t>Phần nội dung lý thuyết về lịch sử và background khá dài và không áp dụng được nhiều, nếu được có thể rút gọn ngắn hơn</t>
  </si>
  <si>
    <t>https://drive.google.com/open?id=1zCAJL4qQjN3X5NVALCAAlL7Db-zS7dhw</t>
  </si>
  <si>
    <t>Có thể làm báo cáo khoa học hơn, dễ nhìn hơn thông qua PowerBI</t>
  </si>
  <si>
    <t>https://drive.google.com/open?id=1y8k_wxF2aUObst0PI8xpYW-OaZA5rF1L</t>
  </si>
  <si>
    <t>Tạo report hoặc dashboard thông qua Excel hoặc PowerBI</t>
  </si>
  <si>
    <t>Cách thức truyền tải của giảng viên rất tốt, dễ tiếp thu, và cực kỳ nhiệt huyết, có nhiều buổi học vượt quá thời lượng nhưng vẫn kiên trì chia sẻ chi tiết các nội dung không cố gắng kết thúc sớm.
Tài liệu đào tạo rất đầy đủ và trực quan, đặc biệt có tất cả các video hướng dẫn thực hiện các bài tập về nhà hoặc các bài kiểm tra cũng như thực hành trên lớp, giúp học viên hiểu và thực hành nhanh chóng hoặc theo dõi bài không kịp hay quên kiến thức có thể tìm và xem lại nhờ các video được chia nhỏ theo từng chủ đề, giúp rút ngắn thời gian học viên phải tự tìm tòi.</t>
  </si>
  <si>
    <t>https://drive.google.com/open?id=1q580jqDUb0WZb0AwOTtH9Rt5_Kyc8s_I</t>
  </si>
  <si>
    <t>Các ứng dụng thực tiễn của Power BI và SQL rất hay, có thể xử lý thông tin nhanh chóng với một lượng data dữ liệu lớn. Ngoài ra, các hàm công thức nâng cao của excel cũng đa dạng, cách tạo pivot table xử lý dữ liệu, tạo biểu đồ nhanh chóng. Trong công việc, các công cụ này có thể tối ưu hóa dữ liệu nhanh chóng và chính xác</t>
  </si>
  <si>
    <t>- Hai giảng viên của khóa học đều rất tốt, tận tâm cho việc học và luôn on duty giải đáp cho các học viên khi không có giờ lên lớp. Hai thầy nhiệt tình, giọng nói dễ nghe, dễ hiểu và truyền đạt rất mạch lạc
- Tài liệu rất đầy đủ, các video hướng dẫn chi tiết, bài học cũng đa dạng và đặc biệt là các bài học, tài liệu đều có thời lượng vĩnh viễn nên đánh giá là rất rất oke
- Luôn dặn dò các học viên làm bài tập, mỗi buổi đều có record, bài đăng tổng quan chung về buổi học
- Hiện tại ở vai trò CS chưa áp dụng được nhiều các công cụ này, hi vọng trong tương lai có cơ hội tiếp cận với vai trò mới thì em sẽ tham khảo thêm khóa học tương tự ạ.</t>
  </si>
  <si>
    <t>https://drive.google.com/open?id=1Jjl4Yp8B5m6vh48jMS_Tw0XHSpUMJW6D</t>
  </si>
  <si>
    <t>Hiểu thêm về UX để hỗ trợ cho các thiết kế UI về sau</t>
  </si>
  <si>
    <t>Không có phản hồi</t>
  </si>
  <si>
    <t>https://drive.google.com/open?id=1K-mDgfDY0LQxsqpTQUSwEqBLbZUgkJqF</t>
  </si>
  <si>
    <t>Học xong cảm giác góc nhìn của mình được rõ hơn. Trước đó khi làm web game thì mình chỉ tập trung trải nghiệm trên góc độ cá nhân (admin). Học xong biết cách định hướng gải dụ mình là 1 user khi vào trang web game thì mình sẽ quan tâm cái gì nhất, từ đó bắt đầu thiết kế giao diện web hợp lý với trải nghiệm hơn. Một vài quy tắc hay ho trong design. Quan trọng nhất là có tí kiến thức, sang nói chuyện với des thấy yên tâm hẳn =)))</t>
  </si>
  <si>
    <t>ko có</t>
  </si>
  <si>
    <t>https://drive.google.com/open?id=1PpENJB02_pPBAF_VgpX8HeQPHpWMe0Cu</t>
  </si>
  <si>
    <t>Tổ chức FGD</t>
  </si>
  <si>
    <t>https://drive.google.com/open?id=1W3l8Y-efqVsecuu3t-YeVcyDp7g7B01j</t>
  </si>
  <si>
    <t>Có tư duy về UX &amp; UI để ứng dụng vào công việc
Figma cơ bản giúp dưng wireframe dễ dàng hơn</t>
  </si>
  <si>
    <t>Flow giảng của giảng viên khá chậm, chưa được thu hút (đặc biệt ở các chương lý thuyết). Có nhiều đoạn bị lỗi nhưng không được cắt khỏi video giảng dạy</t>
  </si>
  <si>
    <t>https://drive.google.com/open?id=16EOKfZREZ7a8j6ideNZ6tSUAhkpvrZPi</t>
  </si>
  <si>
    <t>8 nguyên tắc của Shneiderman và mô hình BJ fogg</t>
  </si>
  <si>
    <t>Giảng viên nói hơi chậm, nếu để tốc độ x2 thì có lẽ là vừa phải hơn. Ngoài ra đôi lúc video hơi nhòe, có thể do mạng hoặc do video gốc có chất lượng thấp</t>
  </si>
  <si>
    <t>https://drive.google.com/open?id=1zn9Rn-iI1mORvvg-ov0_xGrwHdczEpys</t>
  </si>
  <si>
    <t>Tôi có thể góp ý và đưa ý kiến của mình vào thiết kế các website của dự án</t>
  </si>
  <si>
    <t>Giảng viên có kỹ năng sư phạm tốt, truyền tải bài học rõ ràng, dễ hiểu</t>
  </si>
  <si>
    <t>https://drive.google.com/open?id=17P_e81gaRxrsTkaVJDOQkopGzaRP5fim</t>
  </si>
  <si>
    <t>Nguyễn Trân Thục Anh</t>
  </si>
  <si>
    <t>Ứng dụng figma vào thiết kế web</t>
  </si>
  <si>
    <t>Cách mà người chơi tương tác với UI và những yếu tố khiến họ hài lòng</t>
  </si>
  <si>
    <t xml:space="preserve">Nhịp độ truyền tải nội dung kiến thức của giảng viên còn hơi đơn điệu. </t>
  </si>
  <si>
    <t>https://drive.google.com/open?id=1Ai-8lGYAN2VXirW7ID1t4y0Q-73U0Pof</t>
  </si>
  <si>
    <t>Các bước khảo sát người dùng</t>
  </si>
  <si>
    <t>Nội dung phần đầu hơi nặng lí thuyết</t>
  </si>
  <si>
    <t>https://drive.google.com/open?id=1yjZOz7cdwlsIuh2zDQ5bJ5U54WvQoKjb</t>
  </si>
  <si>
    <t>Tran Thi Phuong Thao</t>
  </si>
  <si>
    <t>Khóa học giúp mình nắm được mindset của người dùng khi tương tác với sản phẩm và cách thiết kế page để tối ưu tỷ lệ chuyển đổi. 
Onboarding UI/UX tốt = giữ chân user qua session 1–2, giảm cost per retained user.
Biết phân tích và đặt câu hỏi đúng với team dev/design thay vì feedback mơ hồ</t>
  </si>
  <si>
    <t>https://drive.google.com/open?id=1qw_9mhHRGxaSscBkuFUa_yandrDyTbYL</t>
  </si>
  <si>
    <t>Thiết kế web event, tool nội bộ hiệu quả hơn</t>
  </si>
  <si>
    <t xml:space="preserve">Tuy đoạn đầu hơi dài dòng nhưng về sau thì cũng có nhiều kiến thức bố ích. Nhưng tổng thể khóa học vẫn hơn dài, các kiến thức đó có thể trình bày 1 cách ngắn gọn hơn. </t>
  </si>
  <si>
    <t>https://drive.google.com/open?id=15u5gsGcvYZaU8f70jJuLRjcVZHqddpKb</t>
  </si>
  <si>
    <t>Mình học được cách đặt người dùng làm trung tâm trong thiết kế, từ đó có thêm yếu tố key để mình ứng dụng trong công việc</t>
  </si>
  <si>
    <t>Thêm nhiều ví dụ thực tế từ sản phẩm quen thuộc để dễ hình dung.
Bổ sung case study thất bại/thành công để rút kinh nghiệm.</t>
  </si>
  <si>
    <t>https://drive.google.com/open?id=1LubCjPKEdWtZF9WdrvMn_Clkj-HMiqvd</t>
  </si>
  <si>
    <t>Khóa học tiếng Anh BC</t>
  </si>
  <si>
    <t>Từ vựng Tiếng Anh đa dụng, chủ đề công việc, doanh nghiệp, kinh doanh rất nhiều, có hiệu quả khi dùng giao tiếp với KH hoặc nhân viên nước ngoài</t>
  </si>
  <si>
    <t>Everything is perfect ạ =))) Hi vọng năm sau công ty có tiền cho em đi học tiếp :D</t>
  </si>
  <si>
    <t>https://drive.google.com/open?id=1C0RoRrH--h34WvWS8f9-AgUujsNeXgW4</t>
  </si>
  <si>
    <t>Có thể tự tin giao tiếp hơn và biết dùng những từ ngon trong trường hợp mình không thể biết nói gì tiếp theo. Giáo viên gần gũi thân thiện tạo cảm giác dễ chịu</t>
  </si>
  <si>
    <t>Việc đăng ký học và có chuyện bận đột xuất hủy lớp học không thể hoàn tín chỉ học dẫn đến mất 1 buổi không đáng có, nên việc cải thiện sẽ tốt hơn.</t>
  </si>
  <si>
    <t>https://drive.google.com/open?id=1vwKnj4hQJnSlHiVYSW7hTmG6yFrHpC4n</t>
  </si>
  <si>
    <t xml:space="preserve">giao tiếp bằng tiếng anh </t>
  </si>
  <si>
    <t>https://drive.google.com/open?id=18xRk4eD8ImOx3zebgEM8DZ0oTu6xszTi</t>
  </si>
  <si>
    <t>Khóa học giúp mình vượt qua sự ngại ngùng khi nói tiếng Anh và biết cách chọn từ phù hợp trong từng tình huống giao tiếp. Nhờ đó mình có thể giao tiếp hiệu quả hơn với khách hàng nước ngoài và nâng cao chất lượng phục vụ.</t>
  </si>
  <si>
    <t>Khóa học không cố định giảng viên và hơi khó để tìm thời gian lớp học phù hợp, chỉ dành cho các bạn có thể chủ động về thời gian.</t>
  </si>
  <si>
    <t>https://drive.google.com/open?id=1QTq83wKMkA7TMs5YYQTbQ7d8HVPaze7U</t>
  </si>
  <si>
    <t>Có thể biết thêm được nhiều từ mới, ngữ pháp, kiến thức mới liên quan đến nhiều vấn đề, lĩnh vực khác nhau cũng như cách sử dụng để miêu tả vấn đề, đề xuất công việc khi buộc sử dụng tiếng Anh, rèn được thêm sự tự tin khi sử dụng tiếng Anh nói lên ý kiến</t>
  </si>
  <si>
    <t>Muốn xem xét thêm về các khóa học liên quan trí tuệ nhân tạo</t>
  </si>
  <si>
    <t>https://drive.google.com/open?id=13KcQfV4V_bbhCOkodoe-WKJu4gvscDME</t>
  </si>
  <si>
    <t>Khóa học tiếng Trung</t>
  </si>
  <si>
    <t>Đến hiện tại học được tiếng Trung cơ bản có thể đọc hoặc nghe hiểu 1 vài nội dung cơ bản</t>
  </si>
  <si>
    <t xml:space="preserve">Trung tâm cung cấp đầy đủ tài liệu, giáo viên nhiệt tình. Trong thời gian tới có mong muốn tiếp tục được hỗ trợ đào tạo tiếp khóa tiếng Trung </t>
  </si>
  <si>
    <t>https://drive.google.com/open?id=1g2qIhM2zirgEm0zDp6N5l2SZc4uA7WxN</t>
  </si>
  <si>
    <t>Hiện tại học được tiếng Trung cơ bản có thể đọc hoặc nghe hiểu, giao tiếp cơ bản.</t>
  </si>
  <si>
    <t>Giáo viên giảng dạy dễ tiếp thu, môi trường học tập tốt. Mong muốn trong tương lai được học tiếp tục để hoàn thành HSK2.</t>
  </si>
  <si>
    <t>https://drive.google.com/open?id=1FaItE7sCM7BEXLnpWxS5lnP5lF3JK8Z0</t>
  </si>
  <si>
    <t>Sau khóa học, mình đã học hỏi thêm được ngôn ngữ mới, biết thêm một số mẫu câu giao tiếp bằng tiếng Trung để có thể áp dụng trong giao tiếp cơ bản với bạn bè, đồng nghiệp,... nếu có cơ hội tiếp xúc trong tương lai.</t>
  </si>
  <si>
    <t>Hy vọng có thể tiếp tục có thêm các khóa đào tạo tương tự để mọi người có cơ hội học hỏi thêm và phát triển thêm kỹ năng, ngôn ngữ mới.</t>
  </si>
  <si>
    <t>https://drive.google.com/open?id=1gw9CavSUmPaiBpGqRU_JKhBzHkpWr_aQ</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</si>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</sst>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quot;-&quot;mm&quot;-&quot;dd&quot; &quot;hh&quot;:&quot;mm&quot;:&quot;ss"/>
    <numFmt numFmtId="166" formatCode="m/d/yyyy\ h:mm:ss"/>
    <numFmt numFmtId="167" formatCode="dd\-mm\-yy"/>
    <numFmt numFmtId="168" formatCode="d\-m\-yy"/>
    <numFmt numFmtId="169" formatCode="dd\-mm\-yy\ hh:mm"/>
  </numFmts>
  <fonts count="17">
    <font>
      <sz val="10"/>
      <color rgb="FF000000"/>
      <name val="Arial"/>
      <scheme val="minor"/>
    </font>
    <font>
      <sz val="10"/>
      <color theme="1"/>
      <name val="Arial"/>
      <scheme val="minor"/>
    </font>
    <font>
      <sz val="10"/>
      <color theme="1"/>
      <name val="Arial"/>
    </font>
    <font>
      <b/>
      <sz val="11"/>
      <color theme="1"/>
      <name val="&quot;Aptos Narrow&quot;"/>
    </font>
    <font>
      <sz val="11"/>
      <color rgb="FF000000"/>
      <name val="&quot;Aptos Narrow&quot;"/>
    </font>
    <font>
      <sz val="11"/>
      <color rgb="FF000000"/>
      <name val="Arial"/>
    </font>
    <font>
      <sz val="10"/>
      <color rgb="FF434343"/>
      <name val="Roboto"/>
    </font>
    <font>
      <sz val="10"/>
      <color rgb="FF473821"/>
      <name val="Roboto"/>
    </font>
    <font>
      <sz val="10"/>
      <color rgb="FF434343"/>
      <name val="Arial"/>
    </font>
    <font>
      <sz val="10"/>
      <color rgb="FF11734B"/>
      <name val="Arial"/>
    </font>
    <font>
      <sz val="10"/>
      <color rgb="FF0A53A8"/>
      <name val="Arial"/>
    </font>
    <font>
      <u/>
      <sz val="11"/>
      <color rgb="FF000000"/>
      <name val="&quot;Aptos Narrow&quot;"/>
    </font>
    <font>
      <b/>
      <sz val="10"/>
      <color theme="1"/>
      <name val="Arial"/>
    </font>
    <font>
      <b/>
      <sz val="10"/>
      <color theme="1"/>
      <name val="Arial"/>
      <scheme val="minor"/>
    </font>
    <font>
      <u/>
      <sz val="10"/>
      <color rgb="FF434343"/>
      <name val="Roboto"/>
    </font>
    <font>
      <u/>
      <sz val="10"/>
      <color rgb="FF0000FF"/>
      <name val="Roboto"/>
    </font>
    <font>
      <i/>
      <sz val="10"/>
      <color theme="1"/>
      <name val="Arial"/>
    </font>
  </fonts>
  <fills count="6">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F8F9FA"/>
        <bgColor rgb="FFF8F9FA"/>
      </patternFill>
    </fill>
    <fill>
      <patternFill patternType="solid">
        <fgColor rgb="FFF4F6F8"/>
        <bgColor rgb="FFF4F6F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2">
    <xf numFmtId="0" fontId="0" fillId="0" borderId="0" xfId="0"/>
    <xf numFmtId="0" fontId="1" fillId="0" borderId="0" xfId="0" applyFont="1"/>
    <xf numFmtId="0" fontId="1" fillId="0" borderId="0" xfId="0" applyFont="1" applyAlignment="1">
      <alignment horizontal="left" vertical="center" wrapText="1"/>
    </xf>
    <xf numFmtId="0" fontId="1" fillId="0" borderId="0" xfId="0" applyFont="1" applyAlignment="1">
      <alignment wrapText="1"/>
    </xf>
    <xf numFmtId="0" fontId="1" fillId="0" borderId="0" xfId="0" applyFont="1" applyAlignment="1">
      <alignment vertical="center" wrapText="1"/>
    </xf>
    <xf numFmtId="166" fontId="1" fillId="0" borderId="0" xfId="0" applyNumberFormat="1" applyFont="1" applyAlignment="1">
      <alignment vertical="center"/>
    </xf>
    <xf numFmtId="0" fontId="1" fillId="0" borderId="0" xfId="0" applyFont="1" applyAlignment="1">
      <alignment vertical="center"/>
    </xf>
    <xf numFmtId="0" fontId="1" fillId="2" borderId="0" xfId="0" applyFont="1" applyFill="1" applyAlignment="1">
      <alignment vertical="center"/>
    </xf>
    <xf numFmtId="0" fontId="1" fillId="2" borderId="0" xfId="0" applyFont="1" applyFill="1" applyAlignment="1">
      <alignment vertical="center" wrapText="1"/>
    </xf>
    <xf numFmtId="0" fontId="3" fillId="0" borderId="0" xfId="0" applyFont="1"/>
    <xf numFmtId="0" fontId="3" fillId="0" borderId="0" xfId="0" applyFont="1" applyAlignment="1">
      <alignment horizontal="left"/>
    </xf>
    <xf numFmtId="0" fontId="1" fillId="0" borderId="0" xfId="0" applyFont="1" applyAlignment="1">
      <alignment horizontal="left" vertical="center"/>
    </xf>
    <xf numFmtId="0" fontId="4" fillId="0" borderId="0" xfId="0" applyFont="1" applyAlignment="1">
      <alignment horizontal="left"/>
    </xf>
    <xf numFmtId="0" fontId="4" fillId="0" borderId="0" xfId="0" applyFont="1" applyAlignment="1">
      <alignment horizontal="right"/>
    </xf>
    <xf numFmtId="0" fontId="5" fillId="0" borderId="0" xfId="0" applyFont="1" applyAlignment="1">
      <alignment horizontal="left"/>
    </xf>
    <xf numFmtId="0" fontId="6" fillId="4" borderId="1" xfId="0" applyFont="1" applyFill="1" applyBorder="1"/>
    <xf numFmtId="0" fontId="7" fillId="4" borderId="1" xfId="0" applyFont="1" applyFill="1" applyBorder="1" applyAlignment="1">
      <alignment wrapText="1"/>
    </xf>
    <xf numFmtId="0" fontId="8" fillId="5" borderId="1" xfId="0" applyFont="1" applyFill="1" applyBorder="1"/>
    <xf numFmtId="0" fontId="9" fillId="3" borderId="1" xfId="0" applyFont="1" applyFill="1" applyBorder="1"/>
    <xf numFmtId="0" fontId="9" fillId="4" borderId="1" xfId="0" applyFont="1" applyFill="1" applyBorder="1"/>
    <xf numFmtId="0" fontId="10" fillId="4" borderId="1" xfId="0" applyFont="1" applyFill="1" applyBorder="1"/>
    <xf numFmtId="0" fontId="10" fillId="3" borderId="1" xfId="0" applyFont="1" applyFill="1" applyBorder="1"/>
    <xf numFmtId="0" fontId="8" fillId="5" borderId="0" xfId="0" applyFont="1" applyFill="1"/>
    <xf numFmtId="0" fontId="10" fillId="3" borderId="0" xfId="0" applyFont="1" applyFill="1"/>
    <xf numFmtId="0" fontId="2" fillId="0" borderId="0" xfId="0" applyFont="1" applyAlignment="1">
      <alignment horizontal="left"/>
    </xf>
    <xf numFmtId="0" fontId="2" fillId="0" borderId="0" xfId="0" applyFont="1"/>
    <xf numFmtId="4" fontId="2" fillId="0" borderId="0" xfId="0" applyNumberFormat="1" applyFont="1"/>
    <xf numFmtId="164" fontId="2" fillId="0" borderId="0" xfId="0" applyNumberFormat="1" applyFont="1"/>
    <xf numFmtId="0" fontId="4" fillId="0" borderId="0" xfId="0" applyFont="1"/>
    <xf numFmtId="0" fontId="4" fillId="0" borderId="0" xfId="0" applyFont="1" applyAlignment="1">
      <alignment horizontal="center"/>
    </xf>
    <xf numFmtId="167" fontId="4" fillId="0" borderId="0" xfId="0" applyNumberFormat="1" applyFont="1" applyAlignment="1">
      <alignment horizontal="right"/>
    </xf>
    <xf numFmtId="0" fontId="11" fillId="0" borderId="0" xfId="0" applyFont="1"/>
    <xf numFmtId="168" fontId="4" fillId="0" borderId="0" xfId="0" applyNumberFormat="1" applyFont="1" applyAlignment="1">
      <alignment horizontal="right"/>
    </xf>
    <xf numFmtId="3" fontId="4" fillId="0" borderId="0" xfId="0" applyNumberFormat="1" applyFont="1"/>
    <xf numFmtId="167" fontId="5" fillId="0" borderId="0" xfId="0" applyNumberFormat="1" applyFont="1" applyAlignment="1">
      <alignment horizontal="right"/>
    </xf>
    <xf numFmtId="169" fontId="1" fillId="0" borderId="0" xfId="0" applyNumberFormat="1" applyFont="1" applyAlignment="1">
      <alignment vertical="center"/>
    </xf>
    <xf numFmtId="0" fontId="13" fillId="0" borderId="0" xfId="0" applyFont="1" applyAlignment="1">
      <alignment horizontal="left" vertical="center"/>
    </xf>
    <xf numFmtId="0" fontId="14" fillId="0" borderId="0" xfId="0" applyFont="1" applyAlignment="1">
      <alignment vertical="center"/>
    </xf>
    <xf numFmtId="0" fontId="15" fillId="0" borderId="0" xfId="0" applyFont="1" applyAlignment="1">
      <alignment vertical="center"/>
    </xf>
    <xf numFmtId="0" fontId="4" fillId="0" borderId="0" xfId="0" applyFont="1"/>
    <xf numFmtId="0" fontId="0" fillId="0" borderId="0" xfId="0"/>
    <xf numFmtId="0" fontId="11" fillId="0" borderId="0" xfId="0" applyFont="1"/>
  </cellXfs>
  <cellStyles count="1">
    <cellStyle name="Normal" xfId="0" builtinId="0"/>
  </cellStyles>
  <dxfs count="84">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FFFFF"/>
          <bgColor rgb="FFFFFFFF"/>
        </patternFill>
      </fill>
    </dxf>
    <dxf>
      <fill>
        <patternFill patternType="solid">
          <fgColor rgb="FFFFFFFF"/>
          <bgColor rgb="FFFFFFFF"/>
        </patternFill>
      </fill>
    </dxf>
    <dxf>
      <fill>
        <patternFill patternType="solid">
          <fgColor rgb="FF9B3642"/>
          <bgColor rgb="FF9B3642"/>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fill>
        <patternFill patternType="solid">
          <fgColor rgb="FFFFFFFF"/>
          <bgColor rgb="FFFFFFFF"/>
        </patternFill>
      </fill>
    </dxf>
    <dxf>
      <fill>
        <patternFill patternType="solid">
          <fgColor rgb="FFF8F9FA"/>
          <bgColor rgb="FFF8F9FA"/>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2">
    <tableStyle name="feedback elearning-style" pivot="0" count="4" xr9:uid="{00000000-0011-0000-FFFF-FFFF00000000}">
      <tableStyleElement type="wholeTable" size="0" dxfId="80"/>
      <tableStyleElement type="headerRow" dxfId="83"/>
      <tableStyleElement type="firstRowStripe" dxfId="82"/>
      <tableStyleElement type="secondRowStripe" dxfId="81"/>
    </tableStyle>
    <tableStyle name="Management Day-style" pivot="0" count="4" xr9:uid="{00000000-0011-0000-FFFF-FFFF01000000}">
      <tableStyleElement type="wholeTable" size="0" dxfId="76"/>
      <tableStyleElement type="headerRow" dxfId="79"/>
      <tableStyleElement type="firstRowStripe" dxfId="78"/>
      <tableStyleElement type="secondRowStripe" dxfId="77"/>
    </tableStyle>
    <tableStyle name="Quà Q3-style" pivot="0" count="4" xr9:uid="{00000000-0011-0000-FFFF-FFFF02000000}">
      <tableStyleElement type="wholeTable" size="0" dxfId="72"/>
      <tableStyleElement type="headerRow" dxfId="75"/>
      <tableStyleElement type="firstRowStripe" dxfId="74"/>
      <tableStyleElement type="secondRowStripe" dxfId="73"/>
    </tableStyle>
    <tableStyle name="Copy of Quà Q3-style" pivot="0" count="4" xr9:uid="{00000000-0011-0000-FFFF-FFFF03000000}">
      <tableStyleElement type="wholeTable" size="0" dxfId="68"/>
      <tableStyleElement type="headerRow" dxfId="71"/>
      <tableStyleElement type="firstRowStripe" dxfId="70"/>
      <tableStyleElement type="secondRowStripe" dxfId="69"/>
    </tableStyle>
    <tableStyle name="Sheet14-style" pivot="0" count="2" xr9:uid="{00000000-0011-0000-FFFF-FFFF04000000}">
      <tableStyleElement type="firstRowStripe" dxfId="67"/>
      <tableStyleElement type="secondRowStripe" dxfId="66"/>
    </tableStyle>
    <tableStyle name="Data Learning Hours chi tiết 20-style" pivot="0" count="4" xr9:uid="{00000000-0011-0000-FFFF-FFFF05000000}">
      <tableStyleElement type="wholeTable" size="0" dxfId="62"/>
      <tableStyleElement type="headerRow" dxfId="65"/>
      <tableStyleElement type="firstRowStripe" dxfId="64"/>
      <tableStyleElement type="secondRowStripe" dxfId="63"/>
    </tableStyle>
    <tableStyle name="Course Info (GA &amp; FTM)-style" pivot="0" count="4" xr9:uid="{00000000-0011-0000-FFFF-FFFF06000000}">
      <tableStyleElement type="wholeTable" size="0" dxfId="58"/>
      <tableStyleElement type="headerRow" dxfId="61"/>
      <tableStyleElement type="firstRowStripe" dxfId="60"/>
      <tableStyleElement type="secondRowStripe" dxfId="59"/>
    </tableStyle>
    <tableStyle name="Course Info (Training Budget)-style" pivot="0" count="4" xr9:uid="{00000000-0011-0000-FFFF-FFFF07000000}">
      <tableStyleElement type="wholeTable" size="0" dxfId="54"/>
      <tableStyleElement type="headerRow" dxfId="57"/>
      <tableStyleElement type="firstRowStripe" dxfId="56"/>
      <tableStyleElement type="secondRowStripe" dxfId="55"/>
    </tableStyle>
    <tableStyle name="Participants (GA &amp; FTM)-style" pivot="0" count="4" xr9:uid="{00000000-0011-0000-FFFF-FFFF08000000}">
      <tableStyleElement type="wholeTable" size="0" dxfId="50"/>
      <tableStyleElement type="headerRow" dxfId="53"/>
      <tableStyleElement type="firstRowStripe" dxfId="52"/>
      <tableStyleElement type="secondRowStripe" dxfId="51"/>
    </tableStyle>
    <tableStyle name="Participants (Training Budget)-style" pivot="0" count="4" xr9:uid="{00000000-0011-0000-FFFF-FFFF09000000}">
      <tableStyleElement type="wholeTable" size="0" dxfId="46"/>
      <tableStyleElement type="headerRow" dxfId="49"/>
      <tableStyleElement type="firstRowStripe" dxfId="48"/>
      <tableStyleElement type="secondRowStripe" dxfId="47"/>
    </tableStyle>
    <tableStyle name="Đăng ký CS-style" pivot="0" count="4" xr9:uid="{00000000-0011-0000-FFFF-FFFF0A000000}">
      <tableStyleElement type="wholeTable" size="0" dxfId="42"/>
      <tableStyleElement type="headerRow" dxfId="45"/>
      <tableStyleElement type="firstRowStripe" dxfId="44"/>
      <tableStyleElement type="secondRowStripe" dxfId="43"/>
    </tableStyle>
    <tableStyle name="Garenians-style" pivot="0" count="4" xr9:uid="{00000000-0011-0000-FFFF-FFFF0B000000}">
      <tableStyleElement type="wholeTable" size="0" dxfId="38"/>
      <tableStyleElement type="headerRow" dxfId="41"/>
      <tableStyleElement type="firstRowStripe" dxfId="40"/>
      <tableStyleElement type="secondRowStripe" dxfId="39"/>
    </tableStyle>
    <tableStyle name="Feedback (GA)-style" pivot="0" count="4" xr9:uid="{00000000-0011-0000-FFFF-FFFF0C000000}">
      <tableStyleElement type="wholeTable" size="0" dxfId="34"/>
      <tableStyleElement type="headerRow" dxfId="37"/>
      <tableStyleElement type="firstRowStripe" dxfId="36"/>
      <tableStyleElement type="secondRowStripe" dxfId="35"/>
    </tableStyle>
    <tableStyle name="Feedback (FTM)-style" pivot="0" count="4" xr9:uid="{00000000-0011-0000-FFFF-FFFF0D000000}">
      <tableStyleElement type="wholeTable" size="0" dxfId="30"/>
      <tableStyleElement type="headerRow" dxfId="33"/>
      <tableStyleElement type="firstRowStripe" dxfId="32"/>
      <tableStyleElement type="secondRowStripe" dxfId="31"/>
    </tableStyle>
    <tableStyle name="Training Budget - To fill-style" pivot="0" count="4" xr9:uid="{00000000-0011-0000-FFFF-FFFF0E000000}">
      <tableStyleElement type="wholeTable" size="0" dxfId="26"/>
      <tableStyleElement type="headerRow" dxfId="29"/>
      <tableStyleElement type="firstRowStripe" dxfId="28"/>
      <tableStyleElement type="secondRowStripe" dxfId="27"/>
    </tableStyle>
    <tableStyle name="Feedback Marketing &amp; esports Da-style" pivot="0" count="4" xr9:uid="{00000000-0011-0000-FFFF-FFFF0F000000}">
      <tableStyleElement type="wholeTable" size="0" dxfId="22"/>
      <tableStyleElement type="headerRow" dxfId="25"/>
      <tableStyleElement type="firstRowStripe" dxfId="24"/>
      <tableStyleElement type="secondRowStripe" dxfId="23"/>
    </tableStyle>
    <tableStyle name="Feedback Product Day-style" pivot="0" count="4" xr9:uid="{00000000-0011-0000-FFFF-FFFF10000000}">
      <tableStyleElement type="wholeTable" size="0" dxfId="18"/>
      <tableStyleElement type="headerRow" dxfId="21"/>
      <tableStyleElement type="firstRowStripe" dxfId="20"/>
      <tableStyleElement type="secondRowStripe" dxfId="19"/>
    </tableStyle>
    <tableStyle name="Feedback (Training Budget Spons-style" pivot="0" count="4" xr9:uid="{00000000-0011-0000-FFFF-FFFF11000000}">
      <tableStyleElement type="wholeTable" size="0" dxfId="14"/>
      <tableStyleElement type="headerRow" dxfId="17"/>
      <tableStyleElement type="firstRowStripe" dxfId="16"/>
      <tableStyleElement type="secondRowStripe" dxfId="15"/>
    </tableStyle>
    <tableStyle name="Feedback (Request)-style" pivot="0" count="4" xr9:uid="{00000000-0011-0000-FFFF-FFFF12000000}">
      <tableStyleElement type="wholeTable" size="0" dxfId="10"/>
      <tableStyleElement type="headerRow" dxfId="13"/>
      <tableStyleElement type="firstRowStripe" dxfId="12"/>
      <tableStyleElement type="secondRowStripe" dxfId="11"/>
    </tableStyle>
    <tableStyle name="DS học E-learning-style" pivot="0" count="4" xr9:uid="{00000000-0011-0000-FFFF-FFFF13000000}">
      <tableStyleElement type="wholeTable" size="0" dxfId="6"/>
      <tableStyleElement type="headerRow" dxfId="9"/>
      <tableStyleElement type="firstRowStripe" dxfId="8"/>
      <tableStyleElement type="secondRowStripe" dxfId="7"/>
    </tableStyle>
    <tableStyle name="Sheet18-style" pivot="0" count="2" xr9:uid="{00000000-0011-0000-FFFF-FFFF14000000}">
      <tableStyleElement type="firstRowStripe" dxfId="5"/>
      <tableStyleElement type="secondRowStripe" dxfId="4"/>
    </tableStyle>
    <tableStyle name="DS gửi mail-style" pivot="0" count="4" xr9:uid="{00000000-0011-0000-FFFF-FFFF15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 displayName="Form_Responses" ref="A1:P17">
  <tableColumns count="16">
    <tableColumn id="1" xr3:uid="{00000000-0010-0000-0100-000001000000}" name="Timestamp"/>
    <tableColumn id="2" xr3:uid="{00000000-0010-0000-0100-000002000000}" name="Tên của bạn"/>
    <tableColumn id="3" xr3:uid="{00000000-0010-0000-0100-000003000000}" name="Đánh giá trải nghiệm của bạn với khóa Thuyết trình hiệu quả [Trải nghiệm chung]"/>
    <tableColumn id="4" xr3:uid="{00000000-0010-0000-0100-000004000000}" name="Đánh giá trải nghiệm của bạn với khóa Thuyết trình hiệu quả [Mức độ hài lòng với nội dung?]"/>
    <tableColumn id="5" xr3:uid="{00000000-0010-0000-0100-000005000000}" name="Đánh giá trải nghiệm của bạn với khóa Thuyết trình hiệu quả [Mức độ hài lòng với hình thức khóa E-learning? (VD: nội dung minh họa, tương tác, câu hỏi, bài quiz,...)]"/>
    <tableColumn id="6" xr3:uid="{00000000-0010-0000-0100-000006000000}" name="Đánh giá trải nghiệm của bạn với khóa Thuyết trình hiệu quả [Mức độ hài lòng với truyền thông và hỗ trợ của Bộ phận đào tạo?]"/>
    <tableColumn id="7" xr3:uid="{00000000-0010-0000-0100-000007000000}" name="Đánh giá trải nghiệm của bạn với khóa No-code Automation [Trải nghiệm chung]"/>
    <tableColumn id="8" xr3:uid="{00000000-0010-0000-0100-000008000000}" name="Đánh giá trải nghiệm của bạn với khóa No-code Automation [Mức độ hài lòng với nội dung?]"/>
    <tableColumn id="9" xr3:uid="{00000000-0010-0000-0100-000009000000}" name="Đánh giá trải nghiệm của bạn với khóa No-code Automation [Mức độ hài lòng với hình thức khóa E-learning? (VD: nội dung minh họa, tương tác, câu hỏi, bài quiz,...)]"/>
    <tableColumn id="10" xr3:uid="{00000000-0010-0000-0100-00000A000000}" name="Đánh giá trải nghiệm của bạn với khóa No-code Automation [Mức độ hài lòng với truyền thông và hỗ trợ của Bộ phận đào tạo?]"/>
    <tableColumn id="11" xr3:uid="{00000000-0010-0000-0100-00000B000000}" name="Đánh giá trải nghiệm của bạn với khóa Sắp xếp ưu tiên và quản trị công việc hiệu quả [Trải nghiệm chung]"/>
    <tableColumn id="12" xr3:uid="{00000000-0010-0000-0100-00000C000000}" name="Đánh giá trải nghiệm của bạn với khóa Sắp xếp ưu tiên và quản trị công việc hiệu quả [Mức độ hài lòng với nội dung?]"/>
    <tableColumn id="13" xr3:uid="{00000000-0010-0000-0100-00000D000000}" name="Đánh giá trải nghiệm của bạn với khóa Sắp xếp ưu tiên và quản trị công việc hiệu quả [Mức độ hài lòng với hình thức khóa E-learning? (VD: nội dung minh họa, tương tác, câu hỏi, bài quiz,...)]"/>
    <tableColumn id="14" xr3:uid="{00000000-0010-0000-0100-00000E000000}" name="Đánh giá trải nghiệm của bạn với khóa Sắp xếp ưu tiên và quản trị công việc hiệu quả [Mức độ hài lòng với truyền thông và hỗ trợ của Bộ phận đào tạo?]"/>
    <tableColumn id="15" xr3:uid="{00000000-0010-0000-0100-00000F000000}" name="Vui lòng chia sẻ một điều mà bạn học được và có thể áp dụng trong thực tế công việc thông qua các khóa học này?_x000a_(tùy chọn trả lời)"/>
    <tableColumn id="16" xr3:uid="{00000000-0010-0000-0100-000010000000}" name="Vui lòng chia sẻ thêm các phản hồi /gợi ý khác của bạn để cải thiện chất lượng đào tạo?_x000a_(tùy chọn trả lời)"/>
  </tableColumns>
  <tableStyleInfo name="feedback elearning-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 displayName="Table4" ref="A3:F130">
  <autoFilter ref="A3:F130" xr:uid="{00000000-0009-0000-0100-000003000000}">
    <filterColumn colId="3">
      <filters>
        <filter val="Cốc in hình Gà"/>
        <filter val="Đế lót ly in hình Gà Learning"/>
        <filter val="Đế lót ly in hình Gà Learning, Standee hình Gà"/>
        <filter val="Pin kim loại"/>
        <filter val="Pin kim loại, Đế lót ly in hình Gà Learning"/>
        <filter val="Pin kim loại, Đế lót ly in hình Gà Learning, Standee hình Gà"/>
        <filter val="Pin kim loại, Đế lót ly in hình Gà Learning, Standee hình Gà, Cốc in hình Gà"/>
        <filter val="Standee hình Gà"/>
        <filter val="Standee hình Gà, Cốc in hình Gà"/>
      </filters>
    </filterColumn>
  </autoFilter>
  <tableColumns count="6">
    <tableColumn id="1" xr3:uid="{00000000-0010-0000-0200-000001000000}" name="Row Labels"/>
    <tableColumn id="2" xr3:uid="{00000000-0010-0000-0200-000002000000}" name="Sum of Sum of Learning Hours"/>
    <tableColumn id="3" xr3:uid="{00000000-0010-0000-0200-000003000000}" name="Column 1"/>
    <tableColumn id="4" xr3:uid="{00000000-0010-0000-0200-000004000000}" name="Quà Learning"/>
    <tableColumn id="5" xr3:uid="{00000000-0010-0000-0200-000005000000}" name="Quà Trainer"/>
    <tableColumn id="6" xr3:uid="{00000000-0010-0000-0200-000006000000}" name="Column 2"/>
  </tableColumns>
  <tableStyleInfo name="Quà Q3-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_2" displayName="Table4_2" ref="A3:F94">
  <autoFilter ref="A3:F94" xr:uid="{00000000-0009-0000-0100-000004000000}"/>
  <tableColumns count="6">
    <tableColumn id="1" xr3:uid="{00000000-0010-0000-0300-000001000000}" name="Mail"/>
    <tableColumn id="2" xr3:uid="{00000000-0010-0000-0300-000002000000}" name="Huy hiệu"/>
    <tableColumn id="3" xr3:uid="{00000000-0010-0000-0300-000003000000}" name="Quà tặng 2025"/>
    <tableColumn id="4" xr3:uid="{00000000-0010-0000-0300-000004000000}" name="Quà trainer"/>
    <tableColumn id="5" xr3:uid="{00000000-0010-0000-0300-000005000000}" name="Ký nhận"/>
    <tableColumn id="6" xr3:uid="{00000000-0010-0000-0300-000006000000}" name="Địa điểm"/>
  </tableColumns>
  <tableStyleInfo name="Copy of Quà Q3-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1" displayName="Table_1" ref="A1:B53" headerRowCount="0">
  <tableColumns count="2">
    <tableColumn id="1" xr3:uid="{00000000-0010-0000-0400-000001000000}" name="Column1"/>
    <tableColumn id="2" xr3:uid="{00000000-0010-0000-0400-000002000000}" name="Column2"/>
  </tableColumns>
  <tableStyleInfo name="Sheet14-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1" displayName="Table1" ref="A1:F744">
  <tableColumns count="6">
    <tableColumn id="1" xr3:uid="{00000000-0010-0000-0500-000001000000}" name="Mail"/>
    <tableColumn id="2" xr3:uid="{00000000-0010-0000-0500-000002000000}" name="Sum of Learning Hours"/>
    <tableColumn id="3" xr3:uid="{00000000-0010-0000-0500-000003000000}" name="Course Name"/>
    <tableColumn id="4" xr3:uid="{00000000-0010-0000-0500-000004000000}" name="Type"/>
    <tableColumn id="5" xr3:uid="{00000000-0010-0000-0500-000005000000}" name="Date Start"/>
    <tableColumn id="6" xr3:uid="{00000000-0010-0000-0500-000006000000}" name="Date End"/>
  </tableColumns>
  <tableStyleInfo name="Data Learning Hours chi tiết 20-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Bảng" displayName="Bảng" ref="A1:K50">
  <tableColumns count="11">
    <tableColumn id="1" xr3:uid="{00000000-0010-0000-1100-000001000000}" name="Dấu thời gian"/>
    <tableColumn id="2" xr3:uid="{00000000-0010-0000-1100-000002000000}" name="Workshop"/>
    <tableColumn id="3" xr3:uid="{00000000-0010-0000-1100-000003000000}" name="Địa chỉ email"/>
    <tableColumn id="4" xr3:uid="{00000000-0010-0000-1100-000004000000}" name="Department/Team_x000a_ Phòng ban"/>
    <tableColumn id="5" xr3:uid="{00000000-0010-0000-1100-000005000000}" name="Đánh giá trải nghiệm của bạn [Trải nghiệm chung với toàn bộ dịch vụ đào tạo được cung cấp]"/>
    <tableColumn id="6" xr3:uid="{00000000-0010-0000-1100-000006000000}" name="Đánh giá trải nghiệm của bạn [Mức độ hài lòng với giải pháp / nội dung đào tạo]"/>
    <tableColumn id="7" xr3:uid="{00000000-0010-0000-1100-000007000000}" name="Đánh giá trải nghiệm của bạn [Mức độ hài lòng với giảng viên / đối tác / tổ chức cung cấp nội dung]"/>
    <tableColumn id="8" xr3:uid="{00000000-0010-0000-1100-000008000000}" name="Đánh giá trải nghiệm của bạn [Mức độ hài lòng với công tác tổ chức và hỗ trợ của Bộ phận Đào tạo?]"/>
    <tableColumn id="9" xr3:uid="{00000000-0010-0000-1100-000009000000}" name="Vui lòng chia sẻ một điều mà bạn học được và có thể áp dụng trong thực tế công việc sau dịch vụ đào tạo này? (Tùy chọn trả lời)"/>
    <tableColumn id="10" xr3:uid="{00000000-0010-0000-1100-00000A000000}" name="Vui lòng chia sẻ thêm các phản hồi /gợi ý khác của bạn để cải thiện chất lượng đào tạo?_x000a_Tùy chọn trả lời"/>
    <tableColumn id="11" xr3:uid="{00000000-0010-0000-1100-00000B000000}" name="Topic feedback"/>
  </tableColumns>
  <tableStyleInfo name="Feedback (Training Budget Spons-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rm_Responses1" displayName="Form_Responses1" ref="A1:L59">
  <tableColumns count="12">
    <tableColumn id="1" xr3:uid="{00000000-0010-0000-1200-000001000000}" name="Timestamp"/>
    <tableColumn id="2" xr3:uid="{00000000-0010-0000-1200-000002000000}" name="Email Address"/>
    <tableColumn id="3" xr3:uid="{00000000-0010-0000-1200-000003000000}" name="Tên của bạn"/>
    <tableColumn id="4" xr3:uid="{00000000-0010-0000-1200-000004000000}" name="Nội dung đề xuất của bạn"/>
    <tableColumn id="5" xr3:uid="{00000000-0010-0000-1200-000005000000}" name="Đánh giá trải nghiệm của bạn [Trải nghiệm chung với toàn bộ dịch vụ đào tạo được cung cấp]"/>
    <tableColumn id="6" xr3:uid="{00000000-0010-0000-1200-000006000000}" name="Đánh giá trải nghiệm của bạn [Mức độ hài lòng với giải pháp / nội dung đào tạo]"/>
    <tableColumn id="7" xr3:uid="{00000000-0010-0000-1200-000007000000}" name="Đánh giá trải nghiệm của bạn [Mức độ hài lòng với giảng viên / đối tác / tổ chức cung cấp nội dung]"/>
    <tableColumn id="8" xr3:uid="{00000000-0010-0000-1200-000008000000}" name="Đánh giá trải nghiệm của bạn [Mức độ hài lòng với công tác tổ chức và hỗ trợ của Bộ phận Đào tạo (Garena)?]"/>
    <tableColumn id="9" xr3:uid="{00000000-0010-0000-1200-000009000000}" name="Vui lòng chia sẻ một điều mà bạn học được và có thể áp dụng trong thực tế công việc sau dịch vụ đào tạo này?"/>
    <tableColumn id="10" xr3:uid="{00000000-0010-0000-1200-00000A000000}" name="Vui lòng chia sẻ thêm các phản hồi /gợi ý khác của bạn để cải thiện chất lượng đào tạo?_x000a_Tùy chọn trả lời"/>
    <tableColumn id="11" xr3:uid="{00000000-0010-0000-1200-00000B000000}" name="Gửi chứng chỉ hoàn thành khóa của bạn tại đây nhé!"/>
    <tableColumn id="12" xr3:uid="{00000000-0010-0000-1200-00000C000000}" name="Đánh giá trải nghiệm của bạn [Row 5]"/>
  </tableColumns>
  <tableStyleInfo name="Feedback (Reques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3" Type="http://schemas.openxmlformats.org/officeDocument/2006/relationships/hyperlink" Target="https://www.coursera.org/learn/python" TargetMode="External"/><Relationship Id="rId18" Type="http://schemas.openxmlformats.org/officeDocument/2006/relationships/hyperlink" Target="https://tln.talentnet.vn/eshop/advanced-total-rewards-strategy" TargetMode="External"/><Relationship Id="rId26" Type="http://schemas.openxmlformats.org/officeDocument/2006/relationships/hyperlink" Target="https://www.facebook.com/people/Vietnam-Prosound-Academy/100063690095130/" TargetMode="External"/><Relationship Id="rId39" Type="http://schemas.openxmlformats.org/officeDocument/2006/relationships/hyperlink" Target="https://pnh.vn/khoa-hoc-cissp/" TargetMode="External"/><Relationship Id="rId21" Type="http://schemas.openxmlformats.org/officeDocument/2006/relationships/hyperlink" Target="https://telos.vn/khoa-hoc-thiet-ke-giao-dien-voi-figma/" TargetMode="External"/><Relationship Id="rId34" Type="http://schemas.openxmlformats.org/officeDocument/2006/relationships/hyperlink" Target="http://ine.com/" TargetMode="External"/><Relationship Id="rId7" Type="http://schemas.openxmlformats.org/officeDocument/2006/relationships/hyperlink" Target="https://datapot.vn/khoa-hoc/da-100-analyzing-data-with-power-bi/" TargetMode="External"/><Relationship Id="rId12" Type="http://schemas.openxmlformats.org/officeDocument/2006/relationships/hyperlink" Target="https://www.udemy.com/course/user-experience-design-fundamentals/" TargetMode="External"/><Relationship Id="rId17" Type="http://schemas.openxmlformats.org/officeDocument/2006/relationships/hyperlink" Target="https://www.w3schools.com/" TargetMode="External"/><Relationship Id="rId25" Type="http://schemas.openxmlformats.org/officeDocument/2006/relationships/hyperlink" Target="https://telos.vn/khoa-hoc-thiet-ke-giao-dien-voi-figma/" TargetMode="External"/><Relationship Id="rId33" Type="http://schemas.openxmlformats.org/officeDocument/2006/relationships/hyperlink" Target="https://wallstreetenglish.edu.vn/khoa-hoc-tieng-anh/nguoi-di-lam?utm_term=Lead&amp;utm_campaign=WSEVN_NW_NonBranded_ProductFits_Lead_Google&amp;utm_source=ppc&amp;utm_medium=Google&amp;hsa_acc=2735763208&amp;hsa_cam=18173127804&amp;hsa_grp=147383282544&amp;hsa_ad=618917380235&amp;hsa_src=g&amp;hsa_tgt=dsa-1732094963205&amp;hsa_kw=&amp;hsa_mt=&amp;hsa_net=adwords&amp;hsa_ver=3&amp;gad_source=1&amp;gclid=CjwKCAjwyo60BhBiEiwAHmVLJSuoF-yun3N3pLxdadAjvPpORwDKBIjWIpDvSZWFAIoqkkq8gDgiFBoCObIQAvD_BwE" TargetMode="External"/><Relationship Id="rId38" Type="http://schemas.openxmlformats.org/officeDocument/2006/relationships/hyperlink" Target="https://datapot.vn/khoa-hoc/da-100-analyzing-data-with-power-bi/" TargetMode="External"/><Relationship Id="rId2" Type="http://schemas.openxmlformats.org/officeDocument/2006/relationships/hyperlink" Target="https://docs.google.com/presentation/d/1UI3grUkAxKz3RrcCHlg0z5Tb2qab2BZ1XzZoukk2wtw/edit" TargetMode="External"/><Relationship Id="rId16" Type="http://schemas.openxmlformats.org/officeDocument/2006/relationships/hyperlink" Target="https://datapot.vn/khoa-hoc/da-100-analyzing-data-with-power-bi/" TargetMode="External"/><Relationship Id="rId20" Type="http://schemas.openxmlformats.org/officeDocument/2006/relationships/hyperlink" Target="http://telos.vn/" TargetMode="External"/><Relationship Id="rId29" Type="http://schemas.openxmlformats.org/officeDocument/2006/relationships/hyperlink" Target="https://learningnetwork.cisco.com/s/ccie-enterprise" TargetMode="External"/><Relationship Id="rId1" Type="http://schemas.openxmlformats.org/officeDocument/2006/relationships/hyperlink" Target="https://datapot.vn/khoa-hoc/power-bi-advanced-data-modeling-and-dax/" TargetMode="External"/><Relationship Id="rId6" Type="http://schemas.openxmlformats.org/officeDocument/2006/relationships/hyperlink" Target="https://edu.vcciesp.vn/chinh.sach.lao.dong.2023?fbclid=IwAR0HunO6XFHW1F_JhHwNQEOoVUKkv1UKCF5BZPHlCqNmZHQetbQuf0DvU0g" TargetMode="External"/><Relationship Id="rId11" Type="http://schemas.openxmlformats.org/officeDocument/2006/relationships/hyperlink" Target="https://datapot.vn/khoa-hoc/da-100-analyzing-data-with-power-bi/" TargetMode="External"/><Relationship Id="rId24" Type="http://schemas.openxmlformats.org/officeDocument/2006/relationships/hyperlink" Target="http://telos.vn/" TargetMode="External"/><Relationship Id="rId32" Type="http://schemas.openxmlformats.org/officeDocument/2006/relationships/hyperlink" Target="https://wallstreetenglish.edu.vn/khoa-hoc-tieng-anh/nguoi-di-lam?utm_term=Lead&amp;utm_campaign=WSEVN_NW_NonBranded_ProductFits_Lead_Google&amp;utm_source=ppc&amp;utm_medium=Google&amp;hsa_acc=2735763208&amp;hsa_cam=18173127804&amp;hsa_grp=147383282544&amp;hsa_ad=618917380235&amp;hsa_src=g&amp;hsa_tgt=dsa-1732094963205&amp;hsa_kw=&amp;hsa_mt=&amp;hsa_net=adwords&amp;hsa_ver=3&amp;gad_source=1&amp;gclid=CjwKCAjwyo60BhBiEiwAHmVLJSuoF-yun3N3pLxdadAjvPpORwDKBIjWIpDvSZWFAIoqkkq8gDgiFBoCObIQAvD_BwE" TargetMode="External"/><Relationship Id="rId37" Type="http://schemas.openxmlformats.org/officeDocument/2006/relationships/hyperlink" Target="https://pnh.vn/khoa-hoc-devops-pro/" TargetMode="External"/><Relationship Id="rId40" Type="http://schemas.openxmlformats.org/officeDocument/2006/relationships/hyperlink" Target="https://www.tomorrowmarketers.org/data-analysis-course" TargetMode="External"/><Relationship Id="rId5" Type="http://schemas.openxmlformats.org/officeDocument/2006/relationships/hyperlink" Target="https://edu.vcciesp.vn/chinh.sach.lao.dong.2023?fbclid=IwAR0HunO6XFHW1F_JhHwNQEOoVUKkv1UKCF5BZPHlCqNmZHQetbQuf0DvU0g" TargetMode="External"/><Relationship Id="rId15" Type="http://schemas.openxmlformats.org/officeDocument/2006/relationships/hyperlink" Target="https://www.tomorrowmarketers.org/data-analysis-course" TargetMode="External"/><Relationship Id="rId23" Type="http://schemas.openxmlformats.org/officeDocument/2006/relationships/hyperlink" Target="https://telos.vn/khoa-hoc-thiet-ke-giao-dien-voi-figma/" TargetMode="External"/><Relationship Id="rId28" Type="http://schemas.openxmlformats.org/officeDocument/2006/relationships/hyperlink" Target="http://aroma.vn/tieng-anh-cho-nguoi-di-lam/" TargetMode="External"/><Relationship Id="rId36" Type="http://schemas.openxmlformats.org/officeDocument/2006/relationships/hyperlink" Target="https://datapot.vn/khoa-hoc/da-100-analyzing-data-with-power-bi/" TargetMode="External"/><Relationship Id="rId10" Type="http://schemas.openxmlformats.org/officeDocument/2006/relationships/hyperlink" Target="https://daotao.ptit.edu.vn/nganhhoc/7480101" TargetMode="External"/><Relationship Id="rId19" Type="http://schemas.openxmlformats.org/officeDocument/2006/relationships/hyperlink" Target="https://29bb37d36e4a4a70a9a35b2b4966a3ce.marketingusercontent.com/m/view/r1lmePK07U4tJGijD3u6j9xP8UBTlFjXqxLckQUwKXIx" TargetMode="External"/><Relationship Id="rId31" Type="http://schemas.openxmlformats.org/officeDocument/2006/relationships/hyperlink" Target="https://wallstreetenglish.edu.vn/khoa-hoc-tieng-anh/nguoi-di-lam?utm_term=Lead&amp;utm_campaign=WSEVN_NW_NonBranded_ProductFits_Lead_Google&amp;utm_source=ppc&amp;utm_medium=Google&amp;hsa_acc=2735763208&amp;hsa_cam=18173127804&amp;hsa_grp=147383282544&amp;hsa_ad=618917380235&amp;hsa_src=g&amp;hsa_tgt=dsa-1732094963205&amp;hsa_kw=&amp;hsa_mt=&amp;hsa_net=adwords&amp;hsa_ver=3&amp;gad_source=1&amp;gclid=CjwKCAjwyo60BhBiEiwAHmVLJSuoF-yun3N3pLxdadAjvPpORwDKBIjWIpDvSZWFAIoqkkq8gDgiFBoCObIQAvD_BwE" TargetMode="External"/><Relationship Id="rId4" Type="http://schemas.openxmlformats.org/officeDocument/2006/relationships/hyperlink" Target="https://datapot.vn/khoa-hoc/power-bi-advanced-data-modeling-and-dax/" TargetMode="External"/><Relationship Id="rId9" Type="http://schemas.openxmlformats.org/officeDocument/2006/relationships/hyperlink" Target="http://aroma.vn/tieng-anh-cho-nguoi-di-lam/" TargetMode="External"/><Relationship Id="rId14" Type="http://schemas.openxmlformats.org/officeDocument/2006/relationships/hyperlink" Target="https://eliteprschool.edu.vn/van-hoa-doanh-nghiep-ttnb/" TargetMode="External"/><Relationship Id="rId22" Type="http://schemas.openxmlformats.org/officeDocument/2006/relationships/hyperlink" Target="http://telos.vn/" TargetMode="External"/><Relationship Id="rId27" Type="http://schemas.openxmlformats.org/officeDocument/2006/relationships/hyperlink" Target="http://aroma.vn/tieng-anh-cho-nguoi-di-lam/" TargetMode="External"/><Relationship Id="rId30" Type="http://schemas.openxmlformats.org/officeDocument/2006/relationships/hyperlink" Target="https://wallstreetenglish.edu.vn/khoa-hoc-tieng-anh/nguoi-di-lam?utm_term=Lead&amp;utm_campaign=WSEVN_NW_NonBranded_ProductFits_Lead_Google&amp;utm_source=ppc&amp;utm_medium=Google&amp;hsa_acc=2735763208&amp;hsa_cam=18173127804&amp;hsa_grp=147383282544&amp;hsa_ad=618917380235&amp;hsa_src=g&amp;hsa_tgt=dsa-1732094963205&amp;hsa_kw=&amp;hsa_mt=&amp;hsa_net=adwords&amp;hsa_ver=3&amp;gad_source=1&amp;gclid=CjwKCAjwyo60BhBiEiwAHmVLJSuoF-yun3N3pLxdadAjvPpORwDKBIjWIpDvSZWFAIoqkkq8gDgiFBoCObIQAvD_BwE" TargetMode="External"/><Relationship Id="rId35" Type="http://schemas.openxmlformats.org/officeDocument/2006/relationships/hyperlink" Target="https://datapot.vn/khoa-hoc/da-100-analyzing-data-with-power-bi/" TargetMode="External"/><Relationship Id="rId8" Type="http://schemas.openxmlformats.org/officeDocument/2006/relationships/hyperlink" Target="https://www.pmi.org/certifications/project-management-pmp" TargetMode="External"/><Relationship Id="rId3" Type="http://schemas.openxmlformats.org/officeDocument/2006/relationships/hyperlink" Target="https://docs.google.com/presentation/d/1UI3grUkAxKz3RrcCHlg0z5Tb2qab2BZ1XzZoukk2wtw/edit"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8" Type="http://schemas.openxmlformats.org/officeDocument/2006/relationships/hyperlink" Target="https://drive.google.com/open?id=1K-mDgfDY0LQxsqpTQUSwEqBLbZUgkJqF" TargetMode="External"/><Relationship Id="rId13" Type="http://schemas.openxmlformats.org/officeDocument/2006/relationships/hyperlink" Target="https://drive.google.com/open?id=17P_e81gaRxrsTkaVJDOQkopGzaRP5fim" TargetMode="External"/><Relationship Id="rId18" Type="http://schemas.openxmlformats.org/officeDocument/2006/relationships/hyperlink" Target="https://drive.google.com/open?id=1LubCjPKEdWtZF9WdrvMn_Clkj-HMiqvd" TargetMode="External"/><Relationship Id="rId26" Type="http://schemas.openxmlformats.org/officeDocument/2006/relationships/hyperlink" Target="https://drive.google.com/open?id=1gw9CavSUmPaiBpGqRU_JKhBzHkpWr_aQ" TargetMode="External"/><Relationship Id="rId3" Type="http://schemas.openxmlformats.org/officeDocument/2006/relationships/hyperlink" Target="https://drive.google.com/open?id=13z5sCBz59YdVlQN7f6GUAEkML3GcHkp0" TargetMode="External"/><Relationship Id="rId21" Type="http://schemas.openxmlformats.org/officeDocument/2006/relationships/hyperlink" Target="https://drive.google.com/open?id=18xRk4eD8ImOx3zebgEM8DZ0oTu6xszTi" TargetMode="External"/><Relationship Id="rId7" Type="http://schemas.openxmlformats.org/officeDocument/2006/relationships/hyperlink" Target="https://drive.google.com/open?id=1Jjl4Yp8B5m6vh48jMS_Tw0XHSpUMJW6D" TargetMode="External"/><Relationship Id="rId12" Type="http://schemas.openxmlformats.org/officeDocument/2006/relationships/hyperlink" Target="https://drive.google.com/open?id=1zn9Rn-iI1mORvvg-ov0_xGrwHdczEpys" TargetMode="External"/><Relationship Id="rId17" Type="http://schemas.openxmlformats.org/officeDocument/2006/relationships/hyperlink" Target="https://drive.google.com/open?id=15u5gsGcvYZaU8f70jJuLRjcVZHqddpKb" TargetMode="External"/><Relationship Id="rId25" Type="http://schemas.openxmlformats.org/officeDocument/2006/relationships/hyperlink" Target="https://drive.google.com/open?id=1FaItE7sCM7BEXLnpWxS5lnP5lF3JK8Z0" TargetMode="External"/><Relationship Id="rId2" Type="http://schemas.openxmlformats.org/officeDocument/2006/relationships/hyperlink" Target="https://drive.google.com/open?id=1Lb51GKxIDUcb56Es-HWJOWVAoUx6KYw7" TargetMode="External"/><Relationship Id="rId16" Type="http://schemas.openxmlformats.org/officeDocument/2006/relationships/hyperlink" Target="https://drive.google.com/open?id=1qw_9mhHRGxaSscBkuFUa_yandrDyTbYL" TargetMode="External"/><Relationship Id="rId20" Type="http://schemas.openxmlformats.org/officeDocument/2006/relationships/hyperlink" Target="https://drive.google.com/open?id=1vwKnj4hQJnSlHiVYSW7hTmG6yFrHpC4n" TargetMode="External"/><Relationship Id="rId1" Type="http://schemas.openxmlformats.org/officeDocument/2006/relationships/hyperlink" Target="https://drive.google.com/open?id=1hLhNuCxNlMOdiLas2__vx_vFCUrckQLL" TargetMode="External"/><Relationship Id="rId6" Type="http://schemas.openxmlformats.org/officeDocument/2006/relationships/hyperlink" Target="https://drive.google.com/open?id=1q580jqDUb0WZb0AwOTtH9Rt5_Kyc8s_I" TargetMode="External"/><Relationship Id="rId11" Type="http://schemas.openxmlformats.org/officeDocument/2006/relationships/hyperlink" Target="https://drive.google.com/open?id=16EOKfZREZ7a8j6ideNZ6tSUAhkpvrZPi" TargetMode="External"/><Relationship Id="rId24" Type="http://schemas.openxmlformats.org/officeDocument/2006/relationships/hyperlink" Target="https://drive.google.com/open?id=1g2qIhM2zirgEm0zDp6N5l2SZc4uA7WxN" TargetMode="External"/><Relationship Id="rId5" Type="http://schemas.openxmlformats.org/officeDocument/2006/relationships/hyperlink" Target="https://drive.google.com/open?id=1y8k_wxF2aUObst0PI8xpYW-OaZA5rF1L" TargetMode="External"/><Relationship Id="rId15" Type="http://schemas.openxmlformats.org/officeDocument/2006/relationships/hyperlink" Target="https://drive.google.com/open?id=1yjZOz7cdwlsIuh2zDQ5bJ5U54WvQoKjb" TargetMode="External"/><Relationship Id="rId23" Type="http://schemas.openxmlformats.org/officeDocument/2006/relationships/hyperlink" Target="https://drive.google.com/open?id=13KcQfV4V_bbhCOkodoe-WKJu4gvscDME" TargetMode="External"/><Relationship Id="rId10" Type="http://schemas.openxmlformats.org/officeDocument/2006/relationships/hyperlink" Target="https://drive.google.com/open?id=1W3l8Y-efqVsecuu3t-YeVcyDp7g7B01j" TargetMode="External"/><Relationship Id="rId19" Type="http://schemas.openxmlformats.org/officeDocument/2006/relationships/hyperlink" Target="https://drive.google.com/open?id=1C0RoRrH--h34WvWS8f9-AgUujsNeXgW4" TargetMode="External"/><Relationship Id="rId4" Type="http://schemas.openxmlformats.org/officeDocument/2006/relationships/hyperlink" Target="https://drive.google.com/open?id=1zCAJL4qQjN3X5NVALCAAlL7Db-zS7dhw" TargetMode="External"/><Relationship Id="rId9" Type="http://schemas.openxmlformats.org/officeDocument/2006/relationships/hyperlink" Target="https://drive.google.com/open?id=1PpENJB02_pPBAF_VgpX8HeQPHpWMe0Cu" TargetMode="External"/><Relationship Id="rId14" Type="http://schemas.openxmlformats.org/officeDocument/2006/relationships/hyperlink" Target="https://drive.google.com/open?id=1Ai-8lGYAN2VXirW7ID1t4y0Q-73U0Pof" TargetMode="External"/><Relationship Id="rId22" Type="http://schemas.openxmlformats.org/officeDocument/2006/relationships/hyperlink" Target="https://drive.google.com/open?id=1QTq83wKMkA7TMs5YYQTbQ7d8HVPaze7U" TargetMode="External"/><Relationship Id="rId2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17"/>
  <sheetViews>
    <sheetView workbookViewId="0">
      <pane ySplit="1" topLeftCell="A2" activePane="bottomLeft" state="frozen"/>
      <selection pane="bottomLeft" activeCell="B3" sqref="B3"/>
    </sheetView>
  </sheetViews>
  <sheetFormatPr defaultColWidth="12.625" defaultRowHeight="15.8" customHeight="1"/>
  <cols>
    <col min="1" max="2" width="18.875" customWidth="1"/>
    <col min="3" max="15" width="37.625" customWidth="1"/>
    <col min="16" max="16" width="71.875" customWidth="1"/>
    <col min="17" max="22" width="18.875" customWidth="1"/>
  </cols>
  <sheetData>
    <row r="1" spans="1:22" ht="22.6" customHeight="1">
      <c r="A1" s="2" t="s">
        <v>1</v>
      </c>
      <c r="B1" s="2" t="s">
        <v>5</v>
      </c>
      <c r="C1" s="2" t="s">
        <v>7</v>
      </c>
      <c r="D1" s="2" t="s">
        <v>8</v>
      </c>
      <c r="E1" s="2" t="s">
        <v>10</v>
      </c>
      <c r="F1" s="2" t="s">
        <v>11</v>
      </c>
      <c r="G1" s="2" t="s">
        <v>12</v>
      </c>
      <c r="H1" s="2" t="s">
        <v>13</v>
      </c>
      <c r="I1" s="2" t="s">
        <v>14</v>
      </c>
      <c r="J1" s="2" t="s">
        <v>15</v>
      </c>
      <c r="K1" s="2" t="s">
        <v>16</v>
      </c>
      <c r="L1" s="2" t="s">
        <v>17</v>
      </c>
      <c r="M1" s="2" t="s">
        <v>18</v>
      </c>
      <c r="N1" s="2" t="s">
        <v>20</v>
      </c>
      <c r="O1" s="2" t="s">
        <v>21</v>
      </c>
      <c r="P1" s="2" t="s">
        <v>23</v>
      </c>
      <c r="Q1" s="3"/>
      <c r="R1" s="3"/>
      <c r="S1" s="3"/>
      <c r="T1" s="3"/>
      <c r="U1" s="3"/>
      <c r="V1" s="3"/>
    </row>
    <row r="2" spans="1:22" ht="22.6" customHeight="1">
      <c r="A2" s="5">
        <v>46020.737608657408</v>
      </c>
      <c r="B2" s="6" t="s">
        <v>26</v>
      </c>
      <c r="C2" s="6" t="s">
        <v>30</v>
      </c>
      <c r="D2" s="6" t="s">
        <v>30</v>
      </c>
      <c r="E2" s="6" t="s">
        <v>30</v>
      </c>
      <c r="F2" s="6" t="s">
        <v>30</v>
      </c>
      <c r="G2" s="7" t="s">
        <v>30</v>
      </c>
      <c r="H2" s="7" t="s">
        <v>30</v>
      </c>
      <c r="I2" s="7" t="s">
        <v>30</v>
      </c>
      <c r="J2" s="6" t="s">
        <v>30</v>
      </c>
      <c r="K2" s="6">
        <v>5</v>
      </c>
      <c r="L2" s="6">
        <v>5</v>
      </c>
      <c r="M2" s="6">
        <v>5</v>
      </c>
      <c r="N2" s="6">
        <v>5</v>
      </c>
      <c r="O2" s="6"/>
      <c r="P2" s="6"/>
    </row>
    <row r="3" spans="1:22" ht="22.6" customHeight="1">
      <c r="A3" s="5">
        <v>46021.493887962963</v>
      </c>
      <c r="B3" s="6" t="s">
        <v>42</v>
      </c>
      <c r="C3" s="6">
        <v>5</v>
      </c>
      <c r="D3" s="6">
        <v>5</v>
      </c>
      <c r="E3" s="6">
        <v>5</v>
      </c>
      <c r="F3" s="6">
        <v>5</v>
      </c>
      <c r="G3" s="7">
        <v>5</v>
      </c>
      <c r="H3" s="7">
        <v>5</v>
      </c>
      <c r="I3" s="7">
        <v>5</v>
      </c>
      <c r="J3" s="6">
        <v>5</v>
      </c>
      <c r="K3" s="6">
        <v>5</v>
      </c>
      <c r="L3" s="6">
        <v>5</v>
      </c>
      <c r="M3" s="6">
        <v>5</v>
      </c>
      <c r="N3" s="6">
        <v>5</v>
      </c>
      <c r="O3" s="6" t="s">
        <v>49</v>
      </c>
      <c r="P3" s="6"/>
    </row>
    <row r="4" spans="1:22" ht="22.6" customHeight="1">
      <c r="A4" s="5">
        <v>46021.658777118057</v>
      </c>
      <c r="B4" s="6" t="s">
        <v>50</v>
      </c>
      <c r="C4" s="6">
        <v>4</v>
      </c>
      <c r="D4" s="6">
        <v>4</v>
      </c>
      <c r="E4" s="6">
        <v>4</v>
      </c>
      <c r="F4" s="6">
        <v>4</v>
      </c>
      <c r="G4" s="7" t="s">
        <v>30</v>
      </c>
      <c r="H4" s="7" t="s">
        <v>30</v>
      </c>
      <c r="I4" s="7" t="s">
        <v>30</v>
      </c>
      <c r="J4" s="6" t="s">
        <v>30</v>
      </c>
      <c r="K4" s="6">
        <v>4</v>
      </c>
      <c r="L4" s="6">
        <v>4</v>
      </c>
      <c r="M4" s="6">
        <v>4</v>
      </c>
      <c r="N4" s="6">
        <v>4</v>
      </c>
      <c r="O4" s="6" t="s">
        <v>53</v>
      </c>
      <c r="P4" s="6" t="s">
        <v>54</v>
      </c>
    </row>
    <row r="5" spans="1:22" ht="22.6" customHeight="1">
      <c r="A5" s="5">
        <v>46021.760586828706</v>
      </c>
      <c r="B5" s="6" t="s">
        <v>55</v>
      </c>
      <c r="C5" s="6">
        <v>4</v>
      </c>
      <c r="D5" s="6">
        <v>4</v>
      </c>
      <c r="E5" s="6">
        <v>4</v>
      </c>
      <c r="F5" s="6">
        <v>4</v>
      </c>
      <c r="G5" s="7">
        <v>4</v>
      </c>
      <c r="H5" s="7">
        <v>4</v>
      </c>
      <c r="I5" s="7">
        <v>4</v>
      </c>
      <c r="J5" s="6">
        <v>4</v>
      </c>
      <c r="K5" s="6">
        <v>4</v>
      </c>
      <c r="L5" s="6">
        <v>4</v>
      </c>
      <c r="M5" s="6">
        <v>4</v>
      </c>
      <c r="N5" s="6">
        <v>4</v>
      </c>
    </row>
    <row r="6" spans="1:22" ht="22.6" customHeight="1">
      <c r="A6" s="5">
        <v>46021.777610694444</v>
      </c>
      <c r="B6" s="6" t="s">
        <v>57</v>
      </c>
      <c r="C6" s="6">
        <v>5</v>
      </c>
      <c r="D6" s="6">
        <v>5</v>
      </c>
      <c r="E6" s="6">
        <v>5</v>
      </c>
      <c r="F6" s="6">
        <v>5</v>
      </c>
      <c r="G6" s="7">
        <v>5</v>
      </c>
      <c r="H6" s="7">
        <v>5</v>
      </c>
      <c r="I6" s="7">
        <v>5</v>
      </c>
      <c r="J6" s="6">
        <v>5</v>
      </c>
      <c r="K6" s="6">
        <v>5</v>
      </c>
      <c r="L6" s="6">
        <v>5</v>
      </c>
      <c r="M6" s="6">
        <v>5</v>
      </c>
      <c r="N6" s="6">
        <v>5</v>
      </c>
    </row>
    <row r="7" spans="1:22" ht="22.6" customHeight="1">
      <c r="A7" s="5">
        <v>46022.366919976848</v>
      </c>
      <c r="B7" s="6" t="s">
        <v>58</v>
      </c>
      <c r="C7" s="6">
        <v>5</v>
      </c>
      <c r="D7" s="6">
        <v>5</v>
      </c>
      <c r="E7" s="6">
        <v>5</v>
      </c>
      <c r="F7" s="6">
        <v>5</v>
      </c>
      <c r="G7" s="7">
        <v>5</v>
      </c>
      <c r="H7" s="7">
        <v>5</v>
      </c>
      <c r="I7" s="7">
        <v>5</v>
      </c>
      <c r="J7" s="6">
        <v>5</v>
      </c>
      <c r="K7" s="6">
        <v>5</v>
      </c>
      <c r="L7" s="6">
        <v>5</v>
      </c>
      <c r="M7" s="6">
        <v>5</v>
      </c>
      <c r="N7" s="6">
        <v>5</v>
      </c>
    </row>
    <row r="8" spans="1:22" ht="22.6" customHeight="1">
      <c r="A8" s="5">
        <v>46022.383732361108</v>
      </c>
      <c r="B8" s="6" t="s">
        <v>60</v>
      </c>
      <c r="C8" s="6">
        <v>4</v>
      </c>
      <c r="D8" s="6">
        <v>4</v>
      </c>
      <c r="E8" s="6">
        <v>4</v>
      </c>
      <c r="F8" s="6">
        <v>4</v>
      </c>
      <c r="G8" s="7" t="s">
        <v>30</v>
      </c>
      <c r="H8" s="7" t="s">
        <v>30</v>
      </c>
      <c r="I8" s="7" t="s">
        <v>30</v>
      </c>
      <c r="J8" s="6" t="s">
        <v>30</v>
      </c>
      <c r="K8" s="6">
        <v>4</v>
      </c>
      <c r="L8" s="6">
        <v>4</v>
      </c>
      <c r="M8" s="6">
        <v>4</v>
      </c>
      <c r="N8" s="6">
        <v>4</v>
      </c>
    </row>
    <row r="9" spans="1:22" ht="22.6" customHeight="1">
      <c r="A9" s="5">
        <v>46022.412098368055</v>
      </c>
      <c r="B9" s="6" t="s">
        <v>62</v>
      </c>
      <c r="C9" s="6" t="s">
        <v>30</v>
      </c>
      <c r="D9" s="6" t="s">
        <v>30</v>
      </c>
      <c r="E9" s="6" t="s">
        <v>30</v>
      </c>
      <c r="F9" s="6" t="s">
        <v>30</v>
      </c>
      <c r="G9" s="7">
        <v>4</v>
      </c>
      <c r="H9" s="7">
        <v>3</v>
      </c>
      <c r="I9" s="7">
        <v>3</v>
      </c>
      <c r="J9" s="6">
        <v>4</v>
      </c>
      <c r="K9" s="6" t="s">
        <v>30</v>
      </c>
      <c r="L9" s="6" t="s">
        <v>30</v>
      </c>
      <c r="M9" s="6" t="s">
        <v>30</v>
      </c>
      <c r="N9" s="6" t="s">
        <v>30</v>
      </c>
      <c r="O9" s="7" t="s">
        <v>63</v>
      </c>
    </row>
    <row r="10" spans="1:22" ht="22.6" customHeight="1">
      <c r="A10" s="5">
        <v>46022.413773136577</v>
      </c>
      <c r="B10" s="6" t="s">
        <v>64</v>
      </c>
      <c r="C10" s="6" t="s">
        <v>30</v>
      </c>
      <c r="D10" s="6" t="s">
        <v>30</v>
      </c>
      <c r="E10" s="6" t="s">
        <v>30</v>
      </c>
      <c r="F10" s="6" t="s">
        <v>30</v>
      </c>
      <c r="G10" s="7">
        <v>5</v>
      </c>
      <c r="H10" s="7">
        <v>5</v>
      </c>
      <c r="I10" s="7">
        <v>5</v>
      </c>
      <c r="J10" s="6">
        <v>5</v>
      </c>
      <c r="K10" s="6" t="s">
        <v>30</v>
      </c>
      <c r="L10" s="6" t="s">
        <v>30</v>
      </c>
      <c r="M10" s="6" t="s">
        <v>30</v>
      </c>
      <c r="N10" s="6" t="s">
        <v>30</v>
      </c>
    </row>
    <row r="11" spans="1:22" ht="22.6" customHeight="1">
      <c r="A11" s="5">
        <v>46024.428271585653</v>
      </c>
      <c r="B11" s="6" t="s">
        <v>66</v>
      </c>
      <c r="C11" s="6">
        <v>5</v>
      </c>
      <c r="D11" s="6">
        <v>5</v>
      </c>
      <c r="E11" s="6">
        <v>5</v>
      </c>
      <c r="F11" s="6">
        <v>5</v>
      </c>
      <c r="G11" s="7">
        <v>5</v>
      </c>
      <c r="H11" s="7">
        <v>5</v>
      </c>
      <c r="I11" s="7">
        <v>5</v>
      </c>
      <c r="J11" s="6">
        <v>5</v>
      </c>
      <c r="K11" s="6">
        <v>5</v>
      </c>
      <c r="L11" s="6">
        <v>5</v>
      </c>
      <c r="M11" s="6">
        <v>5</v>
      </c>
      <c r="N11" s="6">
        <v>5</v>
      </c>
    </row>
    <row r="12" spans="1:22" ht="22.6" customHeight="1">
      <c r="A12" s="5">
        <v>46044.769464328703</v>
      </c>
      <c r="B12" s="6" t="s">
        <v>68</v>
      </c>
      <c r="C12" s="6">
        <v>4</v>
      </c>
      <c r="D12" s="6">
        <v>5</v>
      </c>
      <c r="E12" s="6">
        <v>5</v>
      </c>
      <c r="F12" s="6">
        <v>5</v>
      </c>
      <c r="G12" s="7">
        <v>4</v>
      </c>
      <c r="H12" s="7">
        <v>4</v>
      </c>
      <c r="I12" s="7">
        <v>4</v>
      </c>
      <c r="J12" s="6">
        <v>5</v>
      </c>
      <c r="K12" s="6">
        <v>5</v>
      </c>
      <c r="L12" s="6">
        <v>5</v>
      </c>
      <c r="M12" s="6">
        <v>5</v>
      </c>
      <c r="N12" s="6">
        <v>5</v>
      </c>
      <c r="O12" s="7" t="s">
        <v>69</v>
      </c>
      <c r="P12" s="7" t="s">
        <v>70</v>
      </c>
    </row>
    <row r="13" spans="1:22" ht="22.6" customHeight="1">
      <c r="A13" s="5"/>
      <c r="B13" s="6" t="s">
        <v>71</v>
      </c>
      <c r="C13" s="6"/>
      <c r="D13" s="6"/>
      <c r="E13" s="6"/>
      <c r="F13" s="6"/>
      <c r="G13" s="6"/>
      <c r="H13" s="6"/>
      <c r="I13" s="6"/>
      <c r="J13" s="6"/>
      <c r="K13" s="6"/>
      <c r="L13" s="6"/>
      <c r="M13" s="6"/>
      <c r="N13" s="6"/>
      <c r="O13" s="6"/>
      <c r="P13" s="8" t="s">
        <v>73</v>
      </c>
    </row>
    <row r="14" spans="1:22" ht="22.6" customHeight="1">
      <c r="A14" s="5"/>
      <c r="B14" s="6" t="s">
        <v>42</v>
      </c>
      <c r="C14" s="6"/>
      <c r="D14" s="6"/>
      <c r="E14" s="6"/>
      <c r="F14" s="6"/>
      <c r="G14" s="6"/>
      <c r="H14" s="6"/>
      <c r="I14" s="6"/>
      <c r="J14" s="6"/>
      <c r="K14" s="6"/>
      <c r="L14" s="6"/>
      <c r="M14" s="6"/>
      <c r="N14" s="6"/>
      <c r="O14" s="6"/>
      <c r="P14" s="8" t="s">
        <v>75</v>
      </c>
    </row>
    <row r="15" spans="1:22" ht="22.6" customHeight="1">
      <c r="A15" s="5"/>
      <c r="B15" s="6" t="s">
        <v>76</v>
      </c>
      <c r="C15" s="6"/>
      <c r="D15" s="6"/>
      <c r="E15" s="6"/>
      <c r="F15" s="6"/>
      <c r="G15" s="6"/>
      <c r="H15" s="6"/>
      <c r="I15" s="6"/>
      <c r="J15" s="6"/>
      <c r="K15" s="6"/>
      <c r="L15" s="6"/>
      <c r="M15" s="6"/>
      <c r="N15" s="6"/>
      <c r="O15" s="6"/>
      <c r="P15" s="8" t="s">
        <v>78</v>
      </c>
    </row>
    <row r="16" spans="1:22" ht="22.6" customHeight="1">
      <c r="A16" s="5"/>
      <c r="B16" s="6" t="s">
        <v>79</v>
      </c>
      <c r="C16" s="6"/>
      <c r="D16" s="6"/>
      <c r="E16" s="6"/>
      <c r="F16" s="6"/>
      <c r="G16" s="6"/>
      <c r="H16" s="6"/>
      <c r="I16" s="6"/>
      <c r="J16" s="6"/>
      <c r="K16" s="6"/>
      <c r="L16" s="6"/>
      <c r="M16" s="6"/>
      <c r="N16" s="6"/>
      <c r="O16" s="6"/>
      <c r="P16" s="8" t="s">
        <v>80</v>
      </c>
    </row>
    <row r="17" spans="1:16" ht="22.6" customHeight="1">
      <c r="A17" s="5"/>
      <c r="B17" s="6" t="s">
        <v>81</v>
      </c>
      <c r="C17" s="6"/>
      <c r="D17" s="6"/>
      <c r="E17" s="6"/>
      <c r="F17" s="6"/>
      <c r="G17" s="6"/>
      <c r="H17" s="6"/>
      <c r="I17" s="6"/>
      <c r="J17" s="6"/>
      <c r="K17" s="6"/>
      <c r="L17" s="6"/>
      <c r="M17" s="6"/>
      <c r="N17" s="6"/>
      <c r="O17" s="6"/>
      <c r="P17" s="8" t="s">
        <v>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130"/>
  <sheetViews>
    <sheetView workbookViewId="0">
      <pane ySplit="11" topLeftCell="A12" activePane="bottomLeft" state="frozen"/>
      <selection pane="bottomLeft" activeCell="B13" sqref="B13"/>
    </sheetView>
  </sheetViews>
  <sheetFormatPr defaultColWidth="12.625" defaultRowHeight="15.8" customHeight="1"/>
  <cols>
    <col min="1" max="1" width="32" customWidth="1"/>
    <col min="2" max="2" width="42.625" hidden="1" customWidth="1"/>
    <col min="3" max="3" width="19.75" customWidth="1"/>
    <col min="4" max="4" width="47.625" customWidth="1"/>
    <col min="8" max="8" width="25.25" customWidth="1"/>
  </cols>
  <sheetData>
    <row r="1" spans="1:9" ht="12.9">
      <c r="A1" s="1" t="s">
        <v>87</v>
      </c>
      <c r="B1" s="1" t="s">
        <v>56</v>
      </c>
      <c r="C1" s="1">
        <v>61.5</v>
      </c>
    </row>
    <row r="2" spans="1:9" ht="14.3">
      <c r="A2" s="9"/>
      <c r="B2" s="9"/>
      <c r="C2" s="1"/>
      <c r="G2" s="1"/>
      <c r="H2" s="1"/>
      <c r="I2" s="1"/>
    </row>
    <row r="3" spans="1:9" ht="22.6" customHeight="1">
      <c r="A3" s="10" t="s">
        <v>88</v>
      </c>
      <c r="B3" s="10" t="s">
        <v>89</v>
      </c>
      <c r="C3" s="11" t="s">
        <v>90</v>
      </c>
      <c r="D3" s="11" t="s">
        <v>91</v>
      </c>
      <c r="E3" s="11" t="s">
        <v>92</v>
      </c>
      <c r="F3" s="11" t="s">
        <v>93</v>
      </c>
      <c r="G3" s="1" t="s">
        <v>3</v>
      </c>
      <c r="H3" s="1" t="s">
        <v>4</v>
      </c>
      <c r="I3" s="1" t="s">
        <v>6</v>
      </c>
    </row>
    <row r="4" spans="1:9" ht="22.6" hidden="1" customHeight="1">
      <c r="A4" s="12" t="s">
        <v>94</v>
      </c>
      <c r="B4" s="13">
        <v>75.5</v>
      </c>
      <c r="C4" s="6" t="s">
        <v>9</v>
      </c>
      <c r="D4" s="6"/>
      <c r="E4" s="6"/>
      <c r="F4" s="6" t="str">
        <f t="array" ref="F4">IFERROR(INDEX(Sheet14!$B$1:$B967,MATCH(A4,Sheet14!$A$1:$A967,0)),"")</f>
        <v>Gà chăm Cao thủ</v>
      </c>
      <c r="G4" s="1">
        <v>2</v>
      </c>
      <c r="H4" s="1" t="s">
        <v>22</v>
      </c>
    </row>
    <row r="5" spans="1:9" ht="22.6" hidden="1" customHeight="1">
      <c r="A5" s="14" t="s">
        <v>95</v>
      </c>
      <c r="B5" s="13"/>
      <c r="D5" s="6"/>
      <c r="E5" s="6" t="s">
        <v>32</v>
      </c>
      <c r="F5" s="6" t="str">
        <f t="array" ref="F5">IFERROR(INDEX(Sheet14!$B$1:$B967,MATCH(A5,Sheet14!$A$1:$A967,0)),"")</f>
        <v/>
      </c>
      <c r="G5" s="1"/>
      <c r="I5" s="1"/>
    </row>
    <row r="6" spans="1:9" ht="22.6" hidden="1" customHeight="1">
      <c r="A6" s="14" t="s">
        <v>101</v>
      </c>
      <c r="B6" s="13"/>
      <c r="D6" s="6"/>
      <c r="E6" s="6" t="s">
        <v>32</v>
      </c>
      <c r="F6" s="6" t="str">
        <f t="array" ref="F6">IFERROR(INDEX(Sheet14!$B$1:$B967,MATCH(A6,Sheet14!$A$1:$A967,0)),"")</f>
        <v/>
      </c>
      <c r="G6" s="1"/>
      <c r="I6" s="1"/>
    </row>
    <row r="7" spans="1:9" ht="22.6" hidden="1" customHeight="1">
      <c r="A7" s="14" t="s">
        <v>103</v>
      </c>
      <c r="B7" s="13"/>
      <c r="D7" s="6"/>
      <c r="E7" s="6" t="s">
        <v>32</v>
      </c>
      <c r="F7" s="6" t="str">
        <f t="array" ref="F7">IFERROR(INDEX(Sheet14!$B$1:$B967,MATCH(A7,Sheet14!$A$1:$A967,0)),"")</f>
        <v/>
      </c>
      <c r="G7" s="1"/>
      <c r="I7" s="1"/>
    </row>
    <row r="8" spans="1:9" ht="22.6" hidden="1" customHeight="1">
      <c r="A8" s="14" t="s">
        <v>105</v>
      </c>
      <c r="B8" s="13"/>
      <c r="D8" s="6"/>
      <c r="E8" s="6" t="s">
        <v>34</v>
      </c>
      <c r="F8" s="6" t="str">
        <f t="array" ref="F8">IFERROR(INDEX(Sheet14!$B$1:$B967,MATCH(A8,Sheet14!$A$1:$A967,0)),"")</f>
        <v>Gà chăm Kim cương</v>
      </c>
      <c r="G8" s="1"/>
      <c r="I8" s="1"/>
    </row>
    <row r="9" spans="1:9" ht="22.6" hidden="1" customHeight="1">
      <c r="A9" s="14"/>
      <c r="B9" s="13"/>
      <c r="D9" s="6"/>
      <c r="E9" s="6"/>
      <c r="F9" s="6" t="str">
        <f t="array" ref="F9">IFERROR(INDEX(Sheet14!$B$1:$B967,MATCH(A9,Sheet14!$A$1:$A967,0)),"")</f>
        <v/>
      </c>
      <c r="G9" s="1"/>
      <c r="I9" s="1"/>
    </row>
    <row r="10" spans="1:9" ht="22.6" hidden="1" customHeight="1">
      <c r="A10" s="14"/>
      <c r="B10" s="13"/>
      <c r="D10" s="6"/>
      <c r="E10" s="6"/>
      <c r="F10" s="6" t="str">
        <f t="array" ref="F10">IFERROR(INDEX(Sheet14!$B$1:$B967,MATCH(A10,Sheet14!$A$1:$A967,0)),"")</f>
        <v/>
      </c>
      <c r="G10" s="1"/>
      <c r="I10" s="1"/>
    </row>
    <row r="11" spans="1:9" ht="22.6" customHeight="1">
      <c r="A11" s="12" t="s">
        <v>56</v>
      </c>
      <c r="B11" s="13">
        <v>75</v>
      </c>
      <c r="C11" s="6" t="s">
        <v>9</v>
      </c>
      <c r="D11" s="6" t="s">
        <v>106</v>
      </c>
      <c r="E11" s="6" t="s">
        <v>39</v>
      </c>
      <c r="F11" s="6" t="str">
        <f t="array" ref="F11">IFERROR(INDEX(Sheet14!$B$1:$B967,MATCH(A11,Sheet14!$A$1:$A967,0)),"")</f>
        <v>Gà chăm Kim cương</v>
      </c>
      <c r="G11" s="1">
        <v>5</v>
      </c>
      <c r="H11" s="1" t="s">
        <v>27</v>
      </c>
      <c r="I11" s="1" t="s">
        <v>29</v>
      </c>
    </row>
    <row r="12" spans="1:9" ht="22.6" hidden="1" customHeight="1">
      <c r="A12" s="12" t="s">
        <v>2</v>
      </c>
      <c r="B12" s="13">
        <v>72</v>
      </c>
      <c r="C12" s="6" t="s">
        <v>9</v>
      </c>
      <c r="D12" s="6"/>
      <c r="E12" s="6"/>
      <c r="F12" s="6" t="s">
        <v>113</v>
      </c>
      <c r="G12" s="1">
        <v>10</v>
      </c>
      <c r="H12" s="1" t="s">
        <v>28</v>
      </c>
      <c r="I12" s="1" t="s">
        <v>114</v>
      </c>
    </row>
    <row r="13" spans="1:9" ht="22.6" customHeight="1">
      <c r="A13" s="12" t="s">
        <v>65</v>
      </c>
      <c r="B13" s="13">
        <v>62.5</v>
      </c>
      <c r="C13" s="6" t="s">
        <v>9</v>
      </c>
      <c r="D13" s="6" t="s">
        <v>36</v>
      </c>
      <c r="E13" s="6"/>
      <c r="F13" s="6" t="str">
        <f t="array" ref="F13">IFERROR(INDEX(Sheet14!$B$1:$B967,MATCH(A13,Sheet14!$A$1:$A967,0)),"")</f>
        <v/>
      </c>
      <c r="G13" s="1">
        <v>25</v>
      </c>
      <c r="H13" s="1" t="s">
        <v>25</v>
      </c>
      <c r="I13" s="1" t="s">
        <v>116</v>
      </c>
    </row>
    <row r="14" spans="1:9" ht="22.6" customHeight="1">
      <c r="A14" s="12" t="s">
        <v>107</v>
      </c>
      <c r="B14" s="13">
        <v>59.5</v>
      </c>
      <c r="C14" s="6" t="s">
        <v>9</v>
      </c>
      <c r="D14" s="6" t="s">
        <v>108</v>
      </c>
      <c r="E14" s="6"/>
      <c r="F14" s="6" t="str">
        <f t="array" ref="F14">IFERROR(INDEX(Sheet14!$B$1:$B967,MATCH(A14,Sheet14!$A$1:$A967,0)),"")</f>
        <v/>
      </c>
      <c r="G14" s="1">
        <v>50</v>
      </c>
      <c r="H14" s="1" t="s">
        <v>9</v>
      </c>
      <c r="I14" s="1" t="s">
        <v>119</v>
      </c>
    </row>
    <row r="15" spans="1:9" ht="22.6" hidden="1" customHeight="1">
      <c r="A15" s="12" t="s">
        <v>120</v>
      </c>
      <c r="B15" s="13">
        <v>46</v>
      </c>
      <c r="C15" s="6" t="s">
        <v>25</v>
      </c>
      <c r="D15" s="6"/>
      <c r="E15" s="6"/>
      <c r="F15" s="6" t="str">
        <f t="array" ref="F15">IFERROR(INDEX(Sheet14!$B$1:$B967,MATCH(A15,Sheet14!$A$1:$A967,0)),"")</f>
        <v>Gà chăm Tinh Anh</v>
      </c>
      <c r="G15" s="1" t="str">
        <f t="shared" ref="G15:G130" si="0">IF(F15=C15,"","Tặng")</f>
        <v/>
      </c>
    </row>
    <row r="16" spans="1:9" ht="22.6" customHeight="1">
      <c r="A16" s="12" t="s">
        <v>31</v>
      </c>
      <c r="B16" s="13">
        <v>41.5</v>
      </c>
      <c r="C16" s="6" t="s">
        <v>25</v>
      </c>
      <c r="D16" s="6" t="s">
        <v>34</v>
      </c>
      <c r="E16" s="6"/>
      <c r="F16" s="6" t="str">
        <f t="array" ref="F16">IFERROR(INDEX(Sheet14!$B$1:$B967,MATCH(A16,Sheet14!$A$1:$A967,0)),"")</f>
        <v>Gà chăm Kim cương</v>
      </c>
      <c r="G16" s="1" t="str">
        <f t="shared" si="0"/>
        <v>Tặng</v>
      </c>
    </row>
    <row r="17" spans="1:7" ht="22.6" customHeight="1">
      <c r="A17" s="12" t="s">
        <v>109</v>
      </c>
      <c r="B17" s="13">
        <v>41</v>
      </c>
      <c r="C17" s="6" t="s">
        <v>25</v>
      </c>
      <c r="D17" s="6" t="s">
        <v>110</v>
      </c>
      <c r="E17" s="6"/>
      <c r="F17" s="6" t="str">
        <f t="array" ref="F17">IFERROR(INDEX(Sheet14!$B$1:$B967,MATCH(A17,Sheet14!$A$1:$A967,0)),"")</f>
        <v>Gà chăm Tân thủ</v>
      </c>
      <c r="G17" s="1" t="str">
        <f t="shared" si="0"/>
        <v>Tặng</v>
      </c>
    </row>
    <row r="18" spans="1:7" ht="22.6" customHeight="1">
      <c r="A18" s="12" t="s">
        <v>111</v>
      </c>
      <c r="B18" s="13">
        <v>39.5</v>
      </c>
      <c r="C18" s="6" t="s">
        <v>25</v>
      </c>
      <c r="D18" s="6" t="s">
        <v>112</v>
      </c>
      <c r="E18" s="6"/>
      <c r="F18" s="6" t="str">
        <f t="array" ref="F18">IFERROR(INDEX(Sheet14!$B$1:$B967,MATCH(A18,Sheet14!$A$1:$A967,0)),"")</f>
        <v/>
      </c>
      <c r="G18" s="1" t="str">
        <f t="shared" si="0"/>
        <v>Tặng</v>
      </c>
    </row>
    <row r="19" spans="1:7" ht="22.6" customHeight="1">
      <c r="A19" s="12" t="s">
        <v>115</v>
      </c>
      <c r="B19" s="13">
        <v>39.5</v>
      </c>
      <c r="C19" s="6" t="s">
        <v>25</v>
      </c>
      <c r="D19" s="6" t="s">
        <v>112</v>
      </c>
      <c r="E19" s="6"/>
      <c r="F19" s="6" t="str">
        <f t="array" ref="F19">IFERROR(INDEX(Sheet14!$B$1:$B967,MATCH(A19,Sheet14!$A$1:$A967,0)),"")</f>
        <v/>
      </c>
      <c r="G19" s="1" t="str">
        <f t="shared" si="0"/>
        <v>Tặng</v>
      </c>
    </row>
    <row r="20" spans="1:7" ht="22.6" customHeight="1">
      <c r="A20" s="12" t="s">
        <v>24</v>
      </c>
      <c r="B20" s="13">
        <v>39.5</v>
      </c>
      <c r="C20" s="6" t="s">
        <v>25</v>
      </c>
      <c r="D20" s="6" t="s">
        <v>34</v>
      </c>
      <c r="E20" s="6"/>
      <c r="F20" s="6" t="str">
        <f t="array" ref="F20">IFERROR(INDEX(Sheet14!$B$1:$B967,MATCH(A20,Sheet14!$A$1:$A967,0)),"")</f>
        <v>Gà chăm Kim cương</v>
      </c>
      <c r="G20" s="1" t="str">
        <f t="shared" si="0"/>
        <v>Tặng</v>
      </c>
    </row>
    <row r="21" spans="1:7" ht="22.6" customHeight="1">
      <c r="A21" s="12" t="s">
        <v>117</v>
      </c>
      <c r="B21" s="13">
        <v>39</v>
      </c>
      <c r="C21" s="6" t="s">
        <v>25</v>
      </c>
      <c r="D21" s="6" t="s">
        <v>112</v>
      </c>
      <c r="E21" s="6" t="s">
        <v>36</v>
      </c>
      <c r="F21" s="6" t="str">
        <f t="array" ref="F21">IFERROR(INDEX(Sheet14!$B$1:$B967,MATCH(A21,Sheet14!$A$1:$A967,0)),"")</f>
        <v/>
      </c>
      <c r="G21" s="1" t="str">
        <f t="shared" si="0"/>
        <v>Tặng</v>
      </c>
    </row>
    <row r="22" spans="1:7" ht="22.6" customHeight="1">
      <c r="A22" s="12" t="s">
        <v>118</v>
      </c>
      <c r="B22" s="13">
        <v>35.5</v>
      </c>
      <c r="C22" s="6" t="s">
        <v>25</v>
      </c>
      <c r="D22" s="6" t="s">
        <v>112</v>
      </c>
      <c r="E22" s="6"/>
      <c r="F22" s="6" t="str">
        <f t="array" ref="F22">IFERROR(INDEX(Sheet14!$B$1:$B967,MATCH(A22,Sheet14!$A$1:$A967,0)),"")</f>
        <v/>
      </c>
      <c r="G22" s="1" t="str">
        <f t="shared" si="0"/>
        <v>Tặng</v>
      </c>
    </row>
    <row r="23" spans="1:7" ht="22.6" customHeight="1">
      <c r="A23" s="12" t="s">
        <v>121</v>
      </c>
      <c r="B23" s="13">
        <v>33.5</v>
      </c>
      <c r="C23" s="6" t="s">
        <v>25</v>
      </c>
      <c r="D23" s="6" t="s">
        <v>110</v>
      </c>
      <c r="E23" s="6" t="s">
        <v>122</v>
      </c>
      <c r="F23" s="6" t="str">
        <f t="array" ref="F23">IFERROR(INDEX(Sheet14!$B$1:$B967,MATCH(A23,Sheet14!$A$1:$A967,0)),"")</f>
        <v>Gà chăm Tân thủ</v>
      </c>
      <c r="G23" s="1" t="str">
        <f t="shared" si="0"/>
        <v>Tặng</v>
      </c>
    </row>
    <row r="24" spans="1:7" ht="22.6" customHeight="1">
      <c r="A24" s="12" t="s">
        <v>123</v>
      </c>
      <c r="B24" s="13">
        <v>33.5</v>
      </c>
      <c r="C24" s="6" t="s">
        <v>25</v>
      </c>
      <c r="D24" s="6" t="s">
        <v>110</v>
      </c>
      <c r="E24" s="6"/>
      <c r="F24" s="6" t="str">
        <f t="array" ref="F24">IFERROR(INDEX(Sheet14!$B$1:$B967,MATCH(A24,Sheet14!$A$1:$A967,0)),"")</f>
        <v>Gà chăm Tân thủ</v>
      </c>
      <c r="G24" s="1" t="str">
        <f t="shared" si="0"/>
        <v>Tặng</v>
      </c>
    </row>
    <row r="25" spans="1:7" ht="22.6" customHeight="1">
      <c r="A25" s="12" t="s">
        <v>124</v>
      </c>
      <c r="B25" s="13">
        <v>33.5</v>
      </c>
      <c r="C25" s="6" t="s">
        <v>25</v>
      </c>
      <c r="D25" s="6" t="s">
        <v>34</v>
      </c>
      <c r="E25" s="6"/>
      <c r="F25" s="6" t="str">
        <f t="array" ref="F25">IFERROR(INDEX(Sheet14!$B$1:$B967,MATCH(A25,Sheet14!$A$1:$A967,0)),"")</f>
        <v>Gà chăm Kim cương</v>
      </c>
      <c r="G25" s="1" t="str">
        <f t="shared" si="0"/>
        <v>Tặng</v>
      </c>
    </row>
    <row r="26" spans="1:7" ht="22.6" customHeight="1">
      <c r="A26" s="12" t="s">
        <v>125</v>
      </c>
      <c r="B26" s="13">
        <v>33.5</v>
      </c>
      <c r="C26" s="6" t="s">
        <v>25</v>
      </c>
      <c r="D26" s="6" t="s">
        <v>112</v>
      </c>
      <c r="E26" s="6"/>
      <c r="F26" s="6" t="str">
        <f t="array" ref="F26">IFERROR(INDEX(Sheet14!$B$1:$B967,MATCH(A26,Sheet14!$A$1:$A967,0)),"")</f>
        <v/>
      </c>
      <c r="G26" s="1" t="str">
        <f t="shared" si="0"/>
        <v>Tặng</v>
      </c>
    </row>
    <row r="27" spans="1:7" ht="22.6" customHeight="1">
      <c r="A27" s="12" t="s">
        <v>126</v>
      </c>
      <c r="B27" s="13">
        <v>33.5</v>
      </c>
      <c r="C27" s="6" t="s">
        <v>25</v>
      </c>
      <c r="D27" s="6" t="s">
        <v>112</v>
      </c>
      <c r="E27" s="6"/>
      <c r="F27" s="6" t="str">
        <f t="array" ref="F27">IFERROR(INDEX(Sheet14!$B$1:$B967,MATCH(A27,Sheet14!$A$1:$A967,0)),"")</f>
        <v/>
      </c>
      <c r="G27" s="1" t="str">
        <f t="shared" si="0"/>
        <v>Tặng</v>
      </c>
    </row>
    <row r="28" spans="1:7" ht="22.6" customHeight="1">
      <c r="A28" s="12" t="s">
        <v>127</v>
      </c>
      <c r="B28" s="13">
        <v>33.5</v>
      </c>
      <c r="C28" s="6" t="s">
        <v>25</v>
      </c>
      <c r="D28" s="6" t="s">
        <v>112</v>
      </c>
      <c r="E28" s="6"/>
      <c r="F28" s="6" t="str">
        <f t="array" ref="F28">IFERROR(INDEX(Sheet14!$B$1:$B967,MATCH(A28,Sheet14!$A$1:$A967,0)),"")</f>
        <v/>
      </c>
      <c r="G28" s="1" t="str">
        <f t="shared" si="0"/>
        <v>Tặng</v>
      </c>
    </row>
    <row r="29" spans="1:7" ht="22.6" customHeight="1">
      <c r="A29" s="12" t="s">
        <v>61</v>
      </c>
      <c r="B29" s="13">
        <v>33</v>
      </c>
      <c r="C29" s="6" t="s">
        <v>25</v>
      </c>
      <c r="D29" s="6" t="s">
        <v>112</v>
      </c>
      <c r="E29" s="6"/>
      <c r="F29" s="6" t="str">
        <f t="array" ref="F29">IFERROR(INDEX(Sheet14!$B$1:$B967,MATCH(A29,Sheet14!$A$1:$A967,0)),"")</f>
        <v/>
      </c>
      <c r="G29" s="1" t="str">
        <f t="shared" si="0"/>
        <v>Tặng</v>
      </c>
    </row>
    <row r="30" spans="1:7" ht="22.6" customHeight="1">
      <c r="A30" s="12" t="s">
        <v>33</v>
      </c>
      <c r="B30" s="13">
        <v>31</v>
      </c>
      <c r="C30" s="6" t="s">
        <v>25</v>
      </c>
      <c r="D30" s="6" t="s">
        <v>34</v>
      </c>
      <c r="E30" s="6" t="s">
        <v>128</v>
      </c>
      <c r="F30" s="6" t="str">
        <f t="array" ref="F30">IFERROR(INDEX(Sheet14!$B$1:$B967,MATCH(A30,Sheet14!$A$1:$A967,0)),"")</f>
        <v>Gà chăm Kim cương</v>
      </c>
      <c r="G30" s="1" t="str">
        <f t="shared" si="0"/>
        <v>Tặng</v>
      </c>
    </row>
    <row r="31" spans="1:7" ht="22.6" customHeight="1">
      <c r="A31" s="12" t="s">
        <v>129</v>
      </c>
      <c r="B31" s="13">
        <v>30</v>
      </c>
      <c r="C31" s="6" t="s">
        <v>25</v>
      </c>
      <c r="D31" s="6" t="s">
        <v>112</v>
      </c>
      <c r="E31" s="6"/>
      <c r="F31" s="6" t="str">
        <f t="array" ref="F31">IFERROR(INDEX(Sheet14!$B$1:$B967,MATCH(A31,Sheet14!$A$1:$A967,0)),"")</f>
        <v/>
      </c>
      <c r="G31" s="1" t="str">
        <f t="shared" si="0"/>
        <v>Tặng</v>
      </c>
    </row>
    <row r="32" spans="1:7" ht="22.6" customHeight="1">
      <c r="A32" s="12" t="s">
        <v>130</v>
      </c>
      <c r="B32" s="13">
        <v>30</v>
      </c>
      <c r="C32" s="6" t="s">
        <v>25</v>
      </c>
      <c r="D32" s="6" t="s">
        <v>112</v>
      </c>
      <c r="E32" s="6"/>
      <c r="F32" s="6" t="str">
        <f t="array" ref="F32">IFERROR(INDEX(Sheet14!$B$1:$B967,MATCH(A32,Sheet14!$A$1:$A967,0)),"")</f>
        <v/>
      </c>
      <c r="G32" s="1" t="str">
        <f t="shared" si="0"/>
        <v>Tặng</v>
      </c>
    </row>
    <row r="33" spans="1:7" ht="22.6" customHeight="1">
      <c r="A33" s="12" t="s">
        <v>131</v>
      </c>
      <c r="B33" s="13">
        <v>29.5</v>
      </c>
      <c r="C33" s="6" t="s">
        <v>25</v>
      </c>
      <c r="D33" s="6" t="s">
        <v>112</v>
      </c>
      <c r="E33" s="6"/>
      <c r="F33" s="6" t="str">
        <f t="array" ref="F33">IFERROR(INDEX(Sheet14!$B$1:$B967,MATCH(A33,Sheet14!$A$1:$A967,0)),"")</f>
        <v/>
      </c>
      <c r="G33" s="1" t="str">
        <f t="shared" si="0"/>
        <v>Tặng</v>
      </c>
    </row>
    <row r="34" spans="1:7" ht="22.6" customHeight="1">
      <c r="A34" s="12" t="s">
        <v>51</v>
      </c>
      <c r="B34" s="13">
        <v>29.5</v>
      </c>
      <c r="C34" s="6" t="s">
        <v>25</v>
      </c>
      <c r="D34" s="6" t="s">
        <v>34</v>
      </c>
      <c r="E34" s="6"/>
      <c r="F34" s="6" t="str">
        <f t="array" ref="F34">IFERROR(INDEX(Sheet14!$B$1:$B967,MATCH(A34,Sheet14!$A$1:$A967,0)),"")</f>
        <v>Gà chăm Kim cương</v>
      </c>
      <c r="G34" s="1" t="str">
        <f t="shared" si="0"/>
        <v>Tặng</v>
      </c>
    </row>
    <row r="35" spans="1:7" ht="22.6" customHeight="1">
      <c r="A35" s="12" t="s">
        <v>132</v>
      </c>
      <c r="B35" s="13">
        <v>29.5</v>
      </c>
      <c r="C35" s="6" t="s">
        <v>25</v>
      </c>
      <c r="D35" s="6" t="s">
        <v>112</v>
      </c>
      <c r="E35" s="6"/>
      <c r="F35" s="6" t="str">
        <f t="array" ref="F35">IFERROR(INDEX(Sheet14!$B$1:$B967,MATCH(A35,Sheet14!$A$1:$A967,0)),"")</f>
        <v/>
      </c>
      <c r="G35" s="1" t="str">
        <f t="shared" si="0"/>
        <v>Tặng</v>
      </c>
    </row>
    <row r="36" spans="1:7" ht="22.6" customHeight="1">
      <c r="A36" s="12" t="s">
        <v>133</v>
      </c>
      <c r="B36" s="13">
        <v>28</v>
      </c>
      <c r="C36" s="6" t="s">
        <v>25</v>
      </c>
      <c r="D36" s="6" t="s">
        <v>112</v>
      </c>
      <c r="E36" s="6"/>
      <c r="F36" s="6" t="str">
        <f t="array" ref="F36">IFERROR(INDEX(Sheet14!$B$1:$B967,MATCH(A36,Sheet14!$A$1:$A967,0)),"")</f>
        <v/>
      </c>
      <c r="G36" s="1" t="str">
        <f t="shared" si="0"/>
        <v>Tặng</v>
      </c>
    </row>
    <row r="37" spans="1:7" ht="22.6" customHeight="1">
      <c r="A37" s="12" t="s">
        <v>134</v>
      </c>
      <c r="B37" s="13">
        <v>28</v>
      </c>
      <c r="C37" s="6" t="s">
        <v>25</v>
      </c>
      <c r="D37" s="6" t="s">
        <v>112</v>
      </c>
      <c r="E37" s="6"/>
      <c r="F37" s="6" t="str">
        <f t="array" ref="F37">IFERROR(INDEX(Sheet14!$B$1:$B967,MATCH(A37,Sheet14!$A$1:$A967,0)),"")</f>
        <v/>
      </c>
      <c r="G37" s="1" t="str">
        <f t="shared" si="0"/>
        <v>Tặng</v>
      </c>
    </row>
    <row r="38" spans="1:7" ht="22.6" customHeight="1">
      <c r="A38" s="12" t="s">
        <v>135</v>
      </c>
      <c r="B38" s="13">
        <v>27</v>
      </c>
      <c r="C38" s="6" t="s">
        <v>25</v>
      </c>
      <c r="D38" s="6" t="s">
        <v>112</v>
      </c>
      <c r="E38" s="6" t="s">
        <v>36</v>
      </c>
      <c r="F38" s="6" t="str">
        <f t="array" ref="F38">IFERROR(INDEX(Sheet14!$B$1:$B967,MATCH(A38,Sheet14!$A$1:$A967,0)),"")</f>
        <v/>
      </c>
      <c r="G38" s="1" t="str">
        <f t="shared" si="0"/>
        <v>Tặng</v>
      </c>
    </row>
    <row r="39" spans="1:7" ht="22.6" customHeight="1">
      <c r="A39" s="12" t="s">
        <v>74</v>
      </c>
      <c r="B39" s="13">
        <v>27</v>
      </c>
      <c r="C39" s="6" t="s">
        <v>25</v>
      </c>
      <c r="D39" s="6" t="s">
        <v>112</v>
      </c>
      <c r="E39" s="6"/>
      <c r="F39" s="6" t="str">
        <f t="array" ref="F39">IFERROR(INDEX(Sheet14!$B$1:$B967,MATCH(A39,Sheet14!$A$1:$A967,0)),"")</f>
        <v/>
      </c>
      <c r="G39" s="1" t="str">
        <f t="shared" si="0"/>
        <v>Tặng</v>
      </c>
    </row>
    <row r="40" spans="1:7" ht="22.6" customHeight="1">
      <c r="A40" s="12" t="s">
        <v>156</v>
      </c>
      <c r="B40" s="13">
        <v>25.5</v>
      </c>
      <c r="C40" s="6" t="s">
        <v>25</v>
      </c>
      <c r="D40" s="6" t="s">
        <v>112</v>
      </c>
      <c r="E40" s="6"/>
      <c r="F40" s="6" t="str">
        <f t="array" ref="F40">IFERROR(INDEX(Sheet14!$B$1:$B967,MATCH(A40,Sheet14!$A$1:$A967,0)),"")</f>
        <v>Gà chăm Kim cương</v>
      </c>
      <c r="G40" s="1" t="str">
        <f t="shared" si="0"/>
        <v>Tặng</v>
      </c>
    </row>
    <row r="41" spans="1:7" ht="22.6" customHeight="1">
      <c r="A41" s="12" t="s">
        <v>52</v>
      </c>
      <c r="B41" s="13">
        <v>24.5</v>
      </c>
      <c r="C41" s="6" t="s">
        <v>28</v>
      </c>
      <c r="D41" s="6" t="s">
        <v>136</v>
      </c>
      <c r="E41" s="6"/>
      <c r="F41" s="6" t="str">
        <f t="array" ref="F41">IFERROR(INDEX(Sheet14!$B$1:$B967,MATCH(A41,Sheet14!$A$1:$A967,0)),"")</f>
        <v/>
      </c>
      <c r="G41" s="1" t="str">
        <f t="shared" si="0"/>
        <v>Tặng</v>
      </c>
    </row>
    <row r="42" spans="1:7" ht="22.6" customHeight="1">
      <c r="A42" s="12" t="s">
        <v>137</v>
      </c>
      <c r="B42" s="13">
        <v>24</v>
      </c>
      <c r="C42" s="6" t="s">
        <v>28</v>
      </c>
      <c r="D42" s="6" t="s">
        <v>136</v>
      </c>
      <c r="E42" s="6" t="s">
        <v>34</v>
      </c>
      <c r="F42" s="6" t="str">
        <f t="array" ref="F42">IFERROR(INDEX(Sheet14!$B$1:$B967,MATCH(A42,Sheet14!$A$1:$A967,0)),"")</f>
        <v/>
      </c>
      <c r="G42" s="1" t="str">
        <f t="shared" si="0"/>
        <v>Tặng</v>
      </c>
    </row>
    <row r="43" spans="1:7" ht="22.6" customHeight="1">
      <c r="A43" s="12" t="s">
        <v>138</v>
      </c>
      <c r="B43" s="13">
        <v>24</v>
      </c>
      <c r="C43" s="6" t="s">
        <v>28</v>
      </c>
      <c r="D43" s="6" t="s">
        <v>136</v>
      </c>
      <c r="E43" s="6"/>
      <c r="F43" s="6" t="str">
        <f t="array" ref="F43">IFERROR(INDEX(Sheet14!$B$1:$B967,MATCH(A43,Sheet14!$A$1:$A967,0)),"")</f>
        <v/>
      </c>
      <c r="G43" s="1" t="str">
        <f t="shared" si="0"/>
        <v>Tặng</v>
      </c>
    </row>
    <row r="44" spans="1:7" ht="22.6" customHeight="1">
      <c r="A44" s="12" t="s">
        <v>139</v>
      </c>
      <c r="B44" s="13">
        <v>24</v>
      </c>
      <c r="C44" s="6" t="s">
        <v>28</v>
      </c>
      <c r="D44" s="6" t="s">
        <v>136</v>
      </c>
      <c r="E44" s="6"/>
      <c r="F44" s="6" t="str">
        <f t="array" ref="F44">IFERROR(INDEX(Sheet14!$B$1:$B967,MATCH(A44,Sheet14!$A$1:$A967,0)),"")</f>
        <v/>
      </c>
      <c r="G44" s="1" t="str">
        <f t="shared" si="0"/>
        <v>Tặng</v>
      </c>
    </row>
    <row r="45" spans="1:7" ht="22.6" hidden="1" customHeight="1">
      <c r="A45" s="12" t="s">
        <v>164</v>
      </c>
      <c r="B45" s="13">
        <v>23.5</v>
      </c>
      <c r="C45" s="6" t="s">
        <v>28</v>
      </c>
      <c r="D45" s="6"/>
      <c r="E45" s="6"/>
      <c r="F45" s="6" t="str">
        <f t="array" ref="F45">IFERROR(INDEX(Sheet14!$B$1:$B967,MATCH(A45,Sheet14!$A$1:$A967,0)),"")</f>
        <v>Gà chăm Kim cương</v>
      </c>
      <c r="G45" s="1" t="str">
        <f t="shared" si="0"/>
        <v/>
      </c>
    </row>
    <row r="46" spans="1:7" ht="22.6" customHeight="1">
      <c r="A46" s="12" t="s">
        <v>140</v>
      </c>
      <c r="B46" s="13">
        <v>23.5</v>
      </c>
      <c r="C46" s="6" t="s">
        <v>28</v>
      </c>
      <c r="D46" s="6" t="s">
        <v>136</v>
      </c>
      <c r="E46" s="6"/>
      <c r="F46" s="6" t="str">
        <f t="array" ref="F46">IFERROR(INDEX(Sheet14!$B$1:$B967,MATCH(A46,Sheet14!$A$1:$A967,0)),"")</f>
        <v/>
      </c>
      <c r="G46" s="1" t="str">
        <f t="shared" si="0"/>
        <v>Tặng</v>
      </c>
    </row>
    <row r="47" spans="1:7" ht="22.6" customHeight="1">
      <c r="A47" s="12" t="s">
        <v>82</v>
      </c>
      <c r="B47" s="13">
        <v>23.5</v>
      </c>
      <c r="C47" s="6" t="s">
        <v>28</v>
      </c>
      <c r="D47" s="6" t="s">
        <v>136</v>
      </c>
      <c r="E47" s="6"/>
      <c r="F47" s="6" t="str">
        <f t="array" ref="F47">IFERROR(INDEX(Sheet14!$B$1:$B967,MATCH(A47,Sheet14!$A$1:$A967,0)),"")</f>
        <v/>
      </c>
      <c r="G47" s="1" t="str">
        <f t="shared" si="0"/>
        <v>Tặng</v>
      </c>
    </row>
    <row r="48" spans="1:7" ht="22.6" hidden="1" customHeight="1">
      <c r="A48" s="12" t="s">
        <v>173</v>
      </c>
      <c r="B48" s="13">
        <v>23</v>
      </c>
      <c r="C48" s="6" t="s">
        <v>28</v>
      </c>
      <c r="D48" s="6"/>
      <c r="E48" s="6"/>
      <c r="F48" s="6" t="str">
        <f t="array" ref="F48">IFERROR(INDEX(Sheet14!$B$1:$B967,MATCH(A48,Sheet14!$A$1:$A967,0)),"")</f>
        <v>Gà chăm Kim cương</v>
      </c>
      <c r="G48" s="1" t="str">
        <f t="shared" si="0"/>
        <v/>
      </c>
    </row>
    <row r="49" spans="1:7" ht="22.6" customHeight="1">
      <c r="A49" s="12" t="s">
        <v>141</v>
      </c>
      <c r="B49" s="13">
        <v>22</v>
      </c>
      <c r="C49" s="6" t="s">
        <v>28</v>
      </c>
      <c r="D49" s="6" t="s">
        <v>136</v>
      </c>
      <c r="E49" s="6" t="s">
        <v>34</v>
      </c>
      <c r="F49" s="6" t="str">
        <f t="array" ref="F49">IFERROR(INDEX(Sheet14!$B$1:$B967,MATCH(A49,Sheet14!$A$1:$A967,0)),"")</f>
        <v/>
      </c>
      <c r="G49" s="1" t="str">
        <f t="shared" si="0"/>
        <v>Tặng</v>
      </c>
    </row>
    <row r="50" spans="1:7" ht="22.6" customHeight="1">
      <c r="A50" s="12" t="s">
        <v>142</v>
      </c>
      <c r="B50" s="13">
        <v>22</v>
      </c>
      <c r="C50" s="6" t="s">
        <v>28</v>
      </c>
      <c r="D50" s="6" t="s">
        <v>136</v>
      </c>
      <c r="E50" s="6"/>
      <c r="F50" s="6" t="str">
        <f t="array" ref="F50">IFERROR(INDEX(Sheet14!$B$1:$B967,MATCH(A50,Sheet14!$A$1:$A967,0)),"")</f>
        <v/>
      </c>
      <c r="G50" s="1" t="str">
        <f t="shared" si="0"/>
        <v>Tặng</v>
      </c>
    </row>
    <row r="51" spans="1:7" ht="22.6" customHeight="1">
      <c r="A51" s="12" t="s">
        <v>143</v>
      </c>
      <c r="B51" s="13">
        <v>22</v>
      </c>
      <c r="C51" s="6" t="s">
        <v>28</v>
      </c>
      <c r="D51" s="6" t="s">
        <v>136</v>
      </c>
      <c r="E51" s="6"/>
      <c r="F51" s="6" t="str">
        <f t="array" ref="F51">IFERROR(INDEX(Sheet14!$B$1:$B967,MATCH(A51,Sheet14!$A$1:$A967,0)),"")</f>
        <v/>
      </c>
      <c r="G51" s="1" t="str">
        <f t="shared" si="0"/>
        <v>Tặng</v>
      </c>
    </row>
    <row r="52" spans="1:7" ht="22.6" customHeight="1">
      <c r="A52" s="12" t="s">
        <v>144</v>
      </c>
      <c r="B52" s="13">
        <v>22</v>
      </c>
      <c r="C52" s="6" t="s">
        <v>28</v>
      </c>
      <c r="D52" s="6" t="s">
        <v>136</v>
      </c>
      <c r="E52" s="6"/>
      <c r="F52" s="6" t="str">
        <f t="array" ref="F52">IFERROR(INDEX(Sheet14!$B$1:$B967,MATCH(A52,Sheet14!$A$1:$A967,0)),"")</f>
        <v/>
      </c>
      <c r="G52" s="1" t="str">
        <f t="shared" si="0"/>
        <v>Tặng</v>
      </c>
    </row>
    <row r="53" spans="1:7" ht="22.6" customHeight="1">
      <c r="A53" s="12" t="s">
        <v>145</v>
      </c>
      <c r="B53" s="13">
        <v>22</v>
      </c>
      <c r="C53" s="6" t="s">
        <v>28</v>
      </c>
      <c r="D53" s="6" t="s">
        <v>136</v>
      </c>
      <c r="E53" s="6"/>
      <c r="F53" s="6" t="str">
        <f t="array" ref="F53">IFERROR(INDEX(Sheet14!$B$1:$B967,MATCH(A53,Sheet14!$A$1:$A967,0)),"")</f>
        <v/>
      </c>
      <c r="G53" s="1" t="str">
        <f t="shared" si="0"/>
        <v>Tặng</v>
      </c>
    </row>
    <row r="54" spans="1:7" ht="22.6" customHeight="1">
      <c r="A54" s="12" t="s">
        <v>146</v>
      </c>
      <c r="B54" s="13">
        <v>21.5</v>
      </c>
      <c r="C54" s="6" t="s">
        <v>28</v>
      </c>
      <c r="D54" s="6" t="s">
        <v>32</v>
      </c>
      <c r="E54" s="6"/>
      <c r="F54" s="6" t="str">
        <f t="array" ref="F54">IFERROR(INDEX(Sheet14!$B$1:$B967,MATCH(A54,Sheet14!$A$1:$A967,0)),"")</f>
        <v>Gà chăm Tân thủ</v>
      </c>
      <c r="G54" s="1" t="str">
        <f t="shared" si="0"/>
        <v>Tặng</v>
      </c>
    </row>
    <row r="55" spans="1:7" ht="22.6" customHeight="1">
      <c r="A55" s="12" t="s">
        <v>72</v>
      </c>
      <c r="B55" s="13">
        <v>21</v>
      </c>
      <c r="C55" s="6" t="s">
        <v>28</v>
      </c>
      <c r="D55" s="6" t="s">
        <v>136</v>
      </c>
      <c r="E55" s="6"/>
      <c r="F55" s="6" t="str">
        <f t="array" ref="F55">IFERROR(INDEX(Sheet14!$B$1:$B967,MATCH(A55,Sheet14!$A$1:$A967,0)),"")</f>
        <v/>
      </c>
      <c r="G55" s="1" t="str">
        <f t="shared" si="0"/>
        <v>Tặng</v>
      </c>
    </row>
    <row r="56" spans="1:7" ht="22.6" customHeight="1">
      <c r="A56" s="12" t="s">
        <v>147</v>
      </c>
      <c r="B56" s="13">
        <v>20</v>
      </c>
      <c r="C56" s="6" t="s">
        <v>28</v>
      </c>
      <c r="D56" s="6" t="s">
        <v>136</v>
      </c>
      <c r="E56" s="6"/>
      <c r="F56" s="6" t="str">
        <f t="array" ref="F56">IFERROR(INDEX(Sheet14!$B$1:$B967,MATCH(A56,Sheet14!$A$1:$A967,0)),"")</f>
        <v/>
      </c>
      <c r="G56" s="1" t="str">
        <f t="shared" si="0"/>
        <v>Tặng</v>
      </c>
    </row>
    <row r="57" spans="1:7" ht="22.6" customHeight="1">
      <c r="A57" s="12" t="s">
        <v>148</v>
      </c>
      <c r="B57" s="13">
        <v>20</v>
      </c>
      <c r="C57" s="6" t="s">
        <v>28</v>
      </c>
      <c r="D57" s="6" t="s">
        <v>136</v>
      </c>
      <c r="E57" s="6"/>
      <c r="F57" s="6" t="str">
        <f t="array" ref="F57">IFERROR(INDEX(Sheet14!$B$1:$B967,MATCH(A57,Sheet14!$A$1:$A967,0)),"")</f>
        <v/>
      </c>
      <c r="G57" s="1" t="str">
        <f t="shared" si="0"/>
        <v>Tặng</v>
      </c>
    </row>
    <row r="58" spans="1:7" ht="22.6" customHeight="1">
      <c r="A58" s="12" t="s">
        <v>149</v>
      </c>
      <c r="B58" s="13">
        <v>20</v>
      </c>
      <c r="C58" s="6" t="s">
        <v>28</v>
      </c>
      <c r="D58" s="6" t="s">
        <v>136</v>
      </c>
      <c r="E58" s="6" t="s">
        <v>36</v>
      </c>
      <c r="F58" s="6" t="str">
        <f t="array" ref="F58">IFERROR(INDEX(Sheet14!$B$1:$B967,MATCH(A58,Sheet14!$A$1:$A967,0)),"")</f>
        <v/>
      </c>
      <c r="G58" s="1" t="str">
        <f t="shared" si="0"/>
        <v>Tặng</v>
      </c>
    </row>
    <row r="59" spans="1:7" ht="22.6" customHeight="1">
      <c r="A59" s="12" t="s">
        <v>150</v>
      </c>
      <c r="B59" s="13">
        <v>20</v>
      </c>
      <c r="C59" s="6" t="s">
        <v>28</v>
      </c>
      <c r="D59" s="6" t="s">
        <v>136</v>
      </c>
      <c r="E59" s="6"/>
      <c r="F59" s="6" t="str">
        <f t="array" ref="F59">IFERROR(INDEX(Sheet14!$B$1:$B967,MATCH(A59,Sheet14!$A$1:$A967,0)),"")</f>
        <v/>
      </c>
      <c r="G59" s="1" t="str">
        <f t="shared" si="0"/>
        <v>Tặng</v>
      </c>
    </row>
    <row r="60" spans="1:7" ht="22.6" customHeight="1">
      <c r="A60" s="12" t="s">
        <v>151</v>
      </c>
      <c r="B60" s="13">
        <v>20</v>
      </c>
      <c r="C60" s="6" t="s">
        <v>28</v>
      </c>
      <c r="D60" s="6" t="s">
        <v>136</v>
      </c>
      <c r="E60" s="6"/>
      <c r="F60" s="6" t="str">
        <f t="array" ref="F60">IFERROR(INDEX(Sheet14!$B$1:$B967,MATCH(A60,Sheet14!$A$1:$A967,0)),"")</f>
        <v/>
      </c>
      <c r="G60" s="1" t="str">
        <f t="shared" si="0"/>
        <v>Tặng</v>
      </c>
    </row>
    <row r="61" spans="1:7" ht="22.6" hidden="1" customHeight="1">
      <c r="A61" s="12" t="s">
        <v>168</v>
      </c>
      <c r="B61" s="13">
        <v>19.5</v>
      </c>
      <c r="C61" s="6" t="s">
        <v>28</v>
      </c>
      <c r="D61" s="6"/>
      <c r="E61" s="6"/>
      <c r="F61" s="6" t="str">
        <f t="array" ref="F61">IFERROR(INDEX(Sheet14!$B$1:$B967,MATCH(A61,Sheet14!$A$1:$A967,0)),"")</f>
        <v>Gà chăm Kim cương</v>
      </c>
      <c r="G61" s="1" t="str">
        <f t="shared" si="0"/>
        <v/>
      </c>
    </row>
    <row r="62" spans="1:7" ht="22.6" customHeight="1">
      <c r="A62" s="12" t="s">
        <v>152</v>
      </c>
      <c r="B62" s="13">
        <v>19.5</v>
      </c>
      <c r="C62" s="6" t="s">
        <v>28</v>
      </c>
      <c r="D62" s="6" t="s">
        <v>32</v>
      </c>
      <c r="E62" s="6" t="s">
        <v>34</v>
      </c>
      <c r="F62" s="6" t="str">
        <f t="array" ref="F62">IFERROR(INDEX(Sheet14!$B$1:$B967,MATCH(A62,Sheet14!$A$1:$A967,0)),"")</f>
        <v>Gà chăm Tân thủ</v>
      </c>
      <c r="G62" s="1" t="str">
        <f t="shared" si="0"/>
        <v>Tặng</v>
      </c>
    </row>
    <row r="63" spans="1:7" ht="22.6" customHeight="1">
      <c r="A63" s="12" t="s">
        <v>153</v>
      </c>
      <c r="B63" s="13">
        <v>19.5</v>
      </c>
      <c r="C63" s="6" t="s">
        <v>28</v>
      </c>
      <c r="D63" s="6" t="s">
        <v>32</v>
      </c>
      <c r="E63" s="6"/>
      <c r="F63" s="6" t="str">
        <f t="array" ref="F63">IFERROR(INDEX(Sheet14!$B$1:$B967,MATCH(A63,Sheet14!$A$1:$A967,0)),"")</f>
        <v>Gà chăm Tân thủ</v>
      </c>
      <c r="G63" s="1" t="str">
        <f t="shared" si="0"/>
        <v>Tặng</v>
      </c>
    </row>
    <row r="64" spans="1:7" ht="22.6" hidden="1" customHeight="1">
      <c r="A64" s="12" t="s">
        <v>169</v>
      </c>
      <c r="B64" s="13">
        <v>19</v>
      </c>
      <c r="C64" s="6" t="s">
        <v>28</v>
      </c>
      <c r="D64" s="6"/>
      <c r="E64" s="6"/>
      <c r="F64" s="6" t="str">
        <f t="array" ref="F64">IFERROR(INDEX(Sheet14!$B$1:$B967,MATCH(A64,Sheet14!$A$1:$A967,0)),"")</f>
        <v>Gà chăm Kim cương</v>
      </c>
      <c r="G64" s="1" t="str">
        <f t="shared" si="0"/>
        <v/>
      </c>
    </row>
    <row r="65" spans="1:7" ht="22.6" customHeight="1">
      <c r="A65" s="12" t="s">
        <v>154</v>
      </c>
      <c r="B65" s="13">
        <v>18</v>
      </c>
      <c r="C65" s="6" t="s">
        <v>28</v>
      </c>
      <c r="D65" s="6" t="s">
        <v>136</v>
      </c>
      <c r="E65" s="6"/>
      <c r="F65" s="6" t="str">
        <f t="array" ref="F65">IFERROR(INDEX(Sheet14!$B$1:$B967,MATCH(A65,Sheet14!$A$1:$A967,0)),"")</f>
        <v/>
      </c>
      <c r="G65" s="1" t="str">
        <f t="shared" si="0"/>
        <v>Tặng</v>
      </c>
    </row>
    <row r="66" spans="1:7" ht="22.6" customHeight="1">
      <c r="A66" s="12" t="s">
        <v>155</v>
      </c>
      <c r="B66" s="13">
        <v>18</v>
      </c>
      <c r="C66" s="6" t="s">
        <v>28</v>
      </c>
      <c r="D66" s="6" t="s">
        <v>136</v>
      </c>
      <c r="E66" s="6"/>
      <c r="F66" s="6" t="str">
        <f t="array" ref="F66">IFERROR(INDEX(Sheet14!$B$1:$B967,MATCH(A66,Sheet14!$A$1:$A967,0)),"")</f>
        <v/>
      </c>
      <c r="G66" s="1" t="str">
        <f t="shared" si="0"/>
        <v>Tặng</v>
      </c>
    </row>
    <row r="67" spans="1:7" ht="22.6" customHeight="1">
      <c r="A67" s="12" t="s">
        <v>157</v>
      </c>
      <c r="B67" s="13">
        <v>18</v>
      </c>
      <c r="C67" s="6" t="s">
        <v>28</v>
      </c>
      <c r="D67" s="6" t="s">
        <v>136</v>
      </c>
      <c r="E67" s="6"/>
      <c r="F67" s="6" t="str">
        <f t="array" ref="F67">IFERROR(INDEX(Sheet14!$B$1:$B967,MATCH(A67,Sheet14!$A$1:$A967,0)),"")</f>
        <v/>
      </c>
      <c r="G67" s="1" t="str">
        <f t="shared" si="0"/>
        <v>Tặng</v>
      </c>
    </row>
    <row r="68" spans="1:7" ht="22.6" customHeight="1">
      <c r="A68" s="12" t="s">
        <v>158</v>
      </c>
      <c r="B68" s="13">
        <v>18</v>
      </c>
      <c r="C68" s="6" t="s">
        <v>28</v>
      </c>
      <c r="D68" s="6" t="s">
        <v>136</v>
      </c>
      <c r="E68" s="6"/>
      <c r="F68" s="6" t="str">
        <f t="array" ref="F68">IFERROR(INDEX(Sheet14!$B$1:$B967,MATCH(A68,Sheet14!$A$1:$A967,0)),"")</f>
        <v/>
      </c>
      <c r="G68" s="1" t="str">
        <f t="shared" si="0"/>
        <v>Tặng</v>
      </c>
    </row>
    <row r="69" spans="1:7" ht="22.6" hidden="1" customHeight="1">
      <c r="A69" s="12" t="s">
        <v>171</v>
      </c>
      <c r="B69" s="13">
        <v>17.5</v>
      </c>
      <c r="C69" s="6" t="s">
        <v>28</v>
      </c>
      <c r="D69" s="6"/>
      <c r="E69" s="6"/>
      <c r="F69" s="6" t="str">
        <f t="array" ref="F69">IFERROR(INDEX(Sheet14!$B$1:$B967,MATCH(A69,Sheet14!$A$1:$A967,0)),"")</f>
        <v>Gà chăm Kim cương</v>
      </c>
      <c r="G69" s="1" t="str">
        <f t="shared" si="0"/>
        <v/>
      </c>
    </row>
    <row r="70" spans="1:7" ht="22.6" hidden="1" customHeight="1">
      <c r="A70" s="12" t="s">
        <v>175</v>
      </c>
      <c r="B70" s="13">
        <v>17.5</v>
      </c>
      <c r="C70" s="6" t="s">
        <v>28</v>
      </c>
      <c r="D70" s="6"/>
      <c r="E70" s="6"/>
      <c r="F70" s="6" t="str">
        <f t="array" ref="F70">IFERROR(INDEX(Sheet14!$B$1:$B967,MATCH(A70,Sheet14!$A$1:$A967,0)),"")</f>
        <v>Gà chăm Kim cương</v>
      </c>
      <c r="G70" s="1" t="str">
        <f t="shared" si="0"/>
        <v/>
      </c>
    </row>
    <row r="71" spans="1:7" ht="22.6" hidden="1" customHeight="1">
      <c r="A71" s="12" t="s">
        <v>172</v>
      </c>
      <c r="B71" s="13">
        <v>17.5</v>
      </c>
      <c r="C71" s="6" t="s">
        <v>28</v>
      </c>
      <c r="D71" s="6"/>
      <c r="E71" s="6"/>
      <c r="F71" s="6" t="str">
        <f t="array" ref="F71">IFERROR(INDEX(Sheet14!$B$1:$B967,MATCH(A71,Sheet14!$A$1:$A967,0)),"")</f>
        <v>Gà chăm Kim cương</v>
      </c>
      <c r="G71" s="1" t="str">
        <f t="shared" si="0"/>
        <v/>
      </c>
    </row>
    <row r="72" spans="1:7" ht="22.6" hidden="1" customHeight="1">
      <c r="A72" s="12" t="s">
        <v>188</v>
      </c>
      <c r="B72" s="13">
        <v>17.5</v>
      </c>
      <c r="C72" s="6" t="s">
        <v>28</v>
      </c>
      <c r="D72" s="6"/>
      <c r="E72" s="6"/>
      <c r="F72" s="6" t="str">
        <f t="array" ref="F72">IFERROR(INDEX(Sheet14!$B$1:$B967,MATCH(A72,Sheet14!$A$1:$A967,0)),"")</f>
        <v>Gà chăm Tân thủ</v>
      </c>
      <c r="G72" s="1" t="str">
        <f t="shared" si="0"/>
        <v>Tặng</v>
      </c>
    </row>
    <row r="73" spans="1:7" ht="22.6" customHeight="1">
      <c r="A73" s="12" t="s">
        <v>159</v>
      </c>
      <c r="B73" s="13">
        <v>17.5</v>
      </c>
      <c r="C73" s="6" t="s">
        <v>28</v>
      </c>
      <c r="D73" s="6" t="s">
        <v>136</v>
      </c>
      <c r="E73" s="6"/>
      <c r="F73" s="6" t="str">
        <f t="array" ref="F73">IFERROR(INDEX(Sheet14!$B$1:$B967,MATCH(A73,Sheet14!$A$1:$A967,0)),"")</f>
        <v/>
      </c>
      <c r="G73" s="1" t="str">
        <f t="shared" si="0"/>
        <v>Tặng</v>
      </c>
    </row>
    <row r="74" spans="1:7" ht="22.6" customHeight="1">
      <c r="A74" s="12" t="s">
        <v>160</v>
      </c>
      <c r="B74" s="13">
        <v>17.5</v>
      </c>
      <c r="C74" s="6" t="s">
        <v>28</v>
      </c>
      <c r="D74" s="6" t="s">
        <v>136</v>
      </c>
      <c r="E74" s="6" t="s">
        <v>34</v>
      </c>
      <c r="F74" s="6" t="str">
        <f t="array" ref="F74">IFERROR(INDEX(Sheet14!$B$1:$B967,MATCH(A74,Sheet14!$A$1:$A967,0)),"")</f>
        <v/>
      </c>
      <c r="G74" s="1" t="str">
        <f t="shared" si="0"/>
        <v>Tặng</v>
      </c>
    </row>
    <row r="75" spans="1:7" ht="22.6" customHeight="1">
      <c r="A75" s="12" t="s">
        <v>161</v>
      </c>
      <c r="B75" s="13">
        <v>16</v>
      </c>
      <c r="C75" s="6" t="s">
        <v>28</v>
      </c>
      <c r="D75" s="6" t="s">
        <v>136</v>
      </c>
      <c r="E75" s="6"/>
      <c r="F75" s="6" t="str">
        <f t="array" ref="F75">IFERROR(INDEX(Sheet14!$B$1:$B967,MATCH(A75,Sheet14!$A$1:$A967,0)),"")</f>
        <v/>
      </c>
      <c r="G75" s="1" t="str">
        <f t="shared" si="0"/>
        <v>Tặng</v>
      </c>
    </row>
    <row r="76" spans="1:7" ht="22.6" customHeight="1">
      <c r="A76" s="12" t="s">
        <v>162</v>
      </c>
      <c r="B76" s="13">
        <v>15.5</v>
      </c>
      <c r="C76" s="6" t="s">
        <v>28</v>
      </c>
      <c r="D76" s="6" t="s">
        <v>136</v>
      </c>
      <c r="E76" s="6"/>
      <c r="F76" s="6" t="str">
        <f t="array" ref="F76">IFERROR(INDEX(Sheet14!$B$1:$B967,MATCH(A76,Sheet14!$A$1:$A967,0)),"")</f>
        <v/>
      </c>
      <c r="G76" s="1" t="str">
        <f t="shared" si="0"/>
        <v>Tặng</v>
      </c>
    </row>
    <row r="77" spans="1:7" ht="22.6" hidden="1" customHeight="1">
      <c r="A77" s="12" t="s">
        <v>176</v>
      </c>
      <c r="B77" s="13">
        <v>15.5</v>
      </c>
      <c r="C77" s="6" t="s">
        <v>28</v>
      </c>
      <c r="D77" s="6"/>
      <c r="E77" s="6"/>
      <c r="F77" s="6" t="str">
        <f t="array" ref="F77">IFERROR(INDEX(Sheet14!$B$1:$B967,MATCH(A77,Sheet14!$A$1:$A967,0)),"")</f>
        <v>Gà chăm Kim cương</v>
      </c>
      <c r="G77" s="1" t="str">
        <f t="shared" si="0"/>
        <v/>
      </c>
    </row>
    <row r="78" spans="1:7" ht="22.6" hidden="1" customHeight="1">
      <c r="A78" s="12" t="s">
        <v>174</v>
      </c>
      <c r="B78" s="13">
        <v>15.5</v>
      </c>
      <c r="C78" s="6" t="s">
        <v>28</v>
      </c>
      <c r="D78" s="6"/>
      <c r="E78" s="6"/>
      <c r="F78" s="6" t="str">
        <f t="array" ref="F78">IFERROR(INDEX(Sheet14!$B$1:$B967,MATCH(A78,Sheet14!$A$1:$A967,0)),"")</f>
        <v>Gà chăm Kim cương</v>
      </c>
      <c r="G78" s="1" t="str">
        <f t="shared" si="0"/>
        <v/>
      </c>
    </row>
    <row r="79" spans="1:7" ht="22.6" customHeight="1">
      <c r="A79" s="12" t="s">
        <v>163</v>
      </c>
      <c r="B79" s="13">
        <v>15.5</v>
      </c>
      <c r="C79" s="6" t="s">
        <v>28</v>
      </c>
      <c r="D79" s="6" t="s">
        <v>136</v>
      </c>
      <c r="E79" s="6"/>
      <c r="F79" s="6" t="str">
        <f t="array" ref="F79">IFERROR(INDEX(Sheet14!$B$1:$B967,MATCH(A79,Sheet14!$A$1:$A967,0)),"")</f>
        <v/>
      </c>
      <c r="G79" s="1" t="str">
        <f t="shared" si="0"/>
        <v>Tặng</v>
      </c>
    </row>
    <row r="80" spans="1:7" ht="22.6" customHeight="1">
      <c r="A80" s="12" t="s">
        <v>165</v>
      </c>
      <c r="B80" s="13">
        <v>15.5</v>
      </c>
      <c r="C80" s="6" t="s">
        <v>28</v>
      </c>
      <c r="D80" s="6" t="s">
        <v>136</v>
      </c>
      <c r="E80" s="6" t="s">
        <v>34</v>
      </c>
      <c r="F80" s="6" t="str">
        <f t="array" ref="F80">IFERROR(INDEX(Sheet14!$B$1:$B967,MATCH(A80,Sheet14!$A$1:$A967,0)),"")</f>
        <v/>
      </c>
      <c r="G80" s="1" t="str">
        <f t="shared" si="0"/>
        <v>Tặng</v>
      </c>
    </row>
    <row r="81" spans="1:7" ht="22.6" hidden="1" customHeight="1">
      <c r="A81" s="12" t="s">
        <v>40</v>
      </c>
      <c r="B81" s="13">
        <v>14</v>
      </c>
      <c r="C81" s="6" t="s">
        <v>28</v>
      </c>
      <c r="D81" s="6"/>
      <c r="E81" s="6"/>
      <c r="F81" s="6" t="str">
        <f t="array" ref="F81">IFERROR(INDEX(Sheet14!$B$1:$B967,MATCH(A81,Sheet14!$A$1:$A967,0)),"")</f>
        <v>Gà chăm Kim cương</v>
      </c>
      <c r="G81" s="1" t="str">
        <f t="shared" si="0"/>
        <v/>
      </c>
    </row>
    <row r="82" spans="1:7" ht="22.6" customHeight="1">
      <c r="A82" s="12" t="s">
        <v>217</v>
      </c>
      <c r="B82" s="13">
        <v>14</v>
      </c>
      <c r="C82" s="6" t="s">
        <v>28</v>
      </c>
      <c r="D82" s="6" t="s">
        <v>136</v>
      </c>
      <c r="E82" s="6"/>
      <c r="F82" s="6" t="str">
        <f t="array" ref="F82">IFERROR(INDEX(Sheet14!$B$1:$B967,MATCH(A82,Sheet14!$A$1:$A967,0)),"")</f>
        <v/>
      </c>
      <c r="G82" s="1" t="str">
        <f t="shared" si="0"/>
        <v>Tặng</v>
      </c>
    </row>
    <row r="83" spans="1:7" ht="22.6" hidden="1" customHeight="1">
      <c r="A83" s="12" t="s">
        <v>179</v>
      </c>
      <c r="B83" s="13">
        <v>13.5</v>
      </c>
      <c r="C83" s="6" t="s">
        <v>28</v>
      </c>
      <c r="D83" s="6"/>
      <c r="E83" s="6"/>
      <c r="F83" s="6" t="str">
        <f t="array" ref="F83">IFERROR(INDEX(Sheet14!$B$1:$B967,MATCH(A83,Sheet14!$A$1:$A967,0)),"")</f>
        <v>Gà chăm Kim cương</v>
      </c>
      <c r="G83" s="1" t="str">
        <f t="shared" si="0"/>
        <v/>
      </c>
    </row>
    <row r="84" spans="1:7" ht="22.6" hidden="1" customHeight="1">
      <c r="A84" s="12" t="s">
        <v>180</v>
      </c>
      <c r="B84" s="13">
        <v>13.5</v>
      </c>
      <c r="C84" s="6" t="s">
        <v>28</v>
      </c>
      <c r="D84" s="6"/>
      <c r="E84" s="6"/>
      <c r="F84" s="6" t="str">
        <f t="array" ref="F84">IFERROR(INDEX(Sheet14!$B$1:$B967,MATCH(A84,Sheet14!$A$1:$A967,0)),"")</f>
        <v>Gà chăm Kim cương</v>
      </c>
      <c r="G84" s="1" t="str">
        <f t="shared" si="0"/>
        <v/>
      </c>
    </row>
    <row r="85" spans="1:7" ht="22.6" customHeight="1">
      <c r="A85" s="12" t="s">
        <v>166</v>
      </c>
      <c r="B85" s="13">
        <v>13.5</v>
      </c>
      <c r="C85" s="6" t="s">
        <v>28</v>
      </c>
      <c r="D85" s="6" t="s">
        <v>136</v>
      </c>
      <c r="E85" s="6"/>
      <c r="F85" s="6" t="str">
        <f t="array" ref="F85">IFERROR(INDEX(Sheet14!$B$1:$B967,MATCH(A85,Sheet14!$A$1:$A967,0)),"")</f>
        <v/>
      </c>
      <c r="G85" s="1" t="str">
        <f t="shared" si="0"/>
        <v>Tặng</v>
      </c>
    </row>
    <row r="86" spans="1:7" ht="22.6" hidden="1" customHeight="1">
      <c r="A86" s="12" t="s">
        <v>182</v>
      </c>
      <c r="B86" s="13">
        <v>13.5</v>
      </c>
      <c r="C86" s="6" t="s">
        <v>28</v>
      </c>
      <c r="D86" s="6"/>
      <c r="E86" s="6"/>
      <c r="F86" s="6" t="str">
        <f t="array" ref="F86">IFERROR(INDEX(Sheet14!$B$1:$B967,MATCH(A86,Sheet14!$A$1:$A967,0)),"")</f>
        <v>Gà chăm Kim cương</v>
      </c>
      <c r="G86" s="1" t="str">
        <f t="shared" si="0"/>
        <v/>
      </c>
    </row>
    <row r="87" spans="1:7" ht="22.6" customHeight="1">
      <c r="A87" s="12" t="s">
        <v>167</v>
      </c>
      <c r="B87" s="13">
        <v>13.5</v>
      </c>
      <c r="C87" s="6" t="s">
        <v>28</v>
      </c>
      <c r="D87" s="6" t="s">
        <v>136</v>
      </c>
      <c r="E87" s="6"/>
      <c r="F87" s="6" t="str">
        <f t="array" ref="F87">IFERROR(INDEX(Sheet14!$B$1:$B967,MATCH(A87,Sheet14!$A$1:$A967,0)),"")</f>
        <v/>
      </c>
      <c r="G87" s="1" t="str">
        <f t="shared" si="0"/>
        <v>Tặng</v>
      </c>
    </row>
    <row r="88" spans="1:7" ht="22.6" hidden="1" customHeight="1">
      <c r="A88" s="12" t="s">
        <v>105</v>
      </c>
      <c r="B88" s="13">
        <v>13.5</v>
      </c>
      <c r="C88" s="6" t="s">
        <v>28</v>
      </c>
      <c r="D88" s="6"/>
      <c r="E88" s="6"/>
      <c r="F88" s="6" t="str">
        <f t="array" ref="F88">IFERROR(INDEX(Sheet14!$B$1:$B967,MATCH(A88,Sheet14!$A$1:$A967,0)),"")</f>
        <v>Gà chăm Kim cương</v>
      </c>
      <c r="G88" s="1" t="str">
        <f t="shared" si="0"/>
        <v/>
      </c>
    </row>
    <row r="89" spans="1:7" ht="22.6" customHeight="1">
      <c r="A89" s="12" t="s">
        <v>59</v>
      </c>
      <c r="B89" s="13">
        <v>13.5</v>
      </c>
      <c r="C89" s="6" t="s">
        <v>28</v>
      </c>
      <c r="D89" s="6" t="s">
        <v>136</v>
      </c>
      <c r="E89" s="6"/>
      <c r="F89" s="6" t="str">
        <f t="array" ref="F89">IFERROR(INDEX(Sheet14!$B$1:$B967,MATCH(A89,Sheet14!$A$1:$A967,0)),"")</f>
        <v/>
      </c>
      <c r="G89" s="1" t="str">
        <f t="shared" si="0"/>
        <v>Tặng</v>
      </c>
    </row>
    <row r="90" spans="1:7" ht="22.6" hidden="1" customHeight="1">
      <c r="A90" s="12" t="s">
        <v>41</v>
      </c>
      <c r="B90" s="13">
        <v>12</v>
      </c>
      <c r="C90" s="6" t="s">
        <v>28</v>
      </c>
      <c r="D90" s="6"/>
      <c r="E90" s="6"/>
      <c r="F90" s="6" t="str">
        <f t="array" ref="F90">IFERROR(INDEX(Sheet14!$B$1:$B967,MATCH(A90,Sheet14!$A$1:$A967,0)),"")</f>
        <v>Gà chăm Kim cương</v>
      </c>
      <c r="G90" s="1" t="str">
        <f t="shared" si="0"/>
        <v/>
      </c>
    </row>
    <row r="91" spans="1:7" ht="22.6" hidden="1" customHeight="1">
      <c r="A91" s="12" t="s">
        <v>43</v>
      </c>
      <c r="B91" s="13">
        <v>12</v>
      </c>
      <c r="C91" s="6" t="s">
        <v>28</v>
      </c>
      <c r="D91" s="6"/>
      <c r="E91" s="6"/>
      <c r="F91" s="6" t="str">
        <f t="array" ref="F91">IFERROR(INDEX(Sheet14!$B$1:$B967,MATCH(A91,Sheet14!$A$1:$A967,0)),"")</f>
        <v>Gà chăm Kim cương</v>
      </c>
      <c r="G91" s="1" t="str">
        <f t="shared" si="0"/>
        <v/>
      </c>
    </row>
    <row r="92" spans="1:7" ht="22.6" hidden="1" customHeight="1">
      <c r="A92" s="12" t="s">
        <v>45</v>
      </c>
      <c r="B92" s="13">
        <v>12</v>
      </c>
      <c r="C92" s="6" t="s">
        <v>28</v>
      </c>
      <c r="D92" s="6"/>
      <c r="E92" s="6"/>
      <c r="F92" s="6" t="str">
        <f t="array" ref="F92">IFERROR(INDEX(Sheet14!$B$1:$B967,MATCH(A92,Sheet14!$A$1:$A967,0)),"")</f>
        <v>Gà chăm Kim cương</v>
      </c>
      <c r="G92" s="1" t="str">
        <f t="shared" si="0"/>
        <v/>
      </c>
    </row>
    <row r="93" spans="1:7" ht="22.6" hidden="1" customHeight="1">
      <c r="A93" s="12" t="s">
        <v>44</v>
      </c>
      <c r="B93" s="13">
        <v>12</v>
      </c>
      <c r="C93" s="6" t="s">
        <v>28</v>
      </c>
      <c r="D93" s="6"/>
      <c r="E93" s="6"/>
      <c r="F93" s="6" t="str">
        <f t="array" ref="F93">IFERROR(INDEX(Sheet14!$B$1:$B967,MATCH(A93,Sheet14!$A$1:$A967,0)),"")</f>
        <v>Gà chăm Kim cương</v>
      </c>
      <c r="G93" s="1" t="str">
        <f t="shared" si="0"/>
        <v/>
      </c>
    </row>
    <row r="94" spans="1:7" ht="22.6" hidden="1" customHeight="1">
      <c r="A94" s="12" t="s">
        <v>35</v>
      </c>
      <c r="B94" s="13">
        <v>12</v>
      </c>
      <c r="C94" s="6" t="s">
        <v>28</v>
      </c>
      <c r="D94" s="6"/>
      <c r="E94" s="6"/>
      <c r="F94" s="6" t="str">
        <f t="array" ref="F94">IFERROR(INDEX(Sheet14!$B$1:$B967,MATCH(A94,Sheet14!$A$1:$A967,0)),"")</f>
        <v>Gà chăm Kim cương</v>
      </c>
      <c r="G94" s="1" t="str">
        <f t="shared" si="0"/>
        <v/>
      </c>
    </row>
    <row r="95" spans="1:7" ht="22.6" hidden="1" customHeight="1">
      <c r="A95" s="12" t="s">
        <v>67</v>
      </c>
      <c r="B95" s="13">
        <v>11.5</v>
      </c>
      <c r="C95" s="6" t="s">
        <v>28</v>
      </c>
      <c r="D95" s="6"/>
      <c r="E95" s="6"/>
      <c r="F95" s="6" t="str">
        <f t="array" ref="F95">IFERROR(INDEX(Sheet14!$B$1:$B967,MATCH(A95,Sheet14!$A$1:$A967,0)),"")</f>
        <v>Gà chăm Kim cương</v>
      </c>
      <c r="G95" s="1" t="str">
        <f t="shared" si="0"/>
        <v/>
      </c>
    </row>
    <row r="96" spans="1:7" ht="22.6" hidden="1" customHeight="1">
      <c r="A96" s="12" t="s">
        <v>181</v>
      </c>
      <c r="B96" s="13">
        <v>11.5</v>
      </c>
      <c r="C96" s="6" t="s">
        <v>28</v>
      </c>
      <c r="D96" s="6"/>
      <c r="E96" s="6"/>
      <c r="F96" s="6" t="str">
        <f t="array" ref="F96">IFERROR(INDEX(Sheet14!$B$1:$B967,MATCH(A96,Sheet14!$A$1:$A967,0)),"")</f>
        <v>Gà chăm Kim cương</v>
      </c>
      <c r="G96" s="1" t="str">
        <f t="shared" si="0"/>
        <v/>
      </c>
    </row>
    <row r="97" spans="1:7" ht="22.6" hidden="1" customHeight="1">
      <c r="A97" s="12" t="s">
        <v>178</v>
      </c>
      <c r="B97" s="13">
        <v>11.5</v>
      </c>
      <c r="C97" s="6" t="s">
        <v>28</v>
      </c>
      <c r="D97" s="6"/>
      <c r="E97" s="6"/>
      <c r="F97" s="6" t="str">
        <f t="array" ref="F97">IFERROR(INDEX(Sheet14!$B$1:$B967,MATCH(A97,Sheet14!$A$1:$A967,0)),"")</f>
        <v>Gà chăm Kim cương</v>
      </c>
      <c r="G97" s="1" t="str">
        <f t="shared" si="0"/>
        <v/>
      </c>
    </row>
    <row r="98" spans="1:7" ht="22.6" customHeight="1">
      <c r="A98" s="12" t="s">
        <v>46</v>
      </c>
      <c r="B98" s="13">
        <v>11</v>
      </c>
      <c r="C98" s="6" t="s">
        <v>28</v>
      </c>
      <c r="D98" s="6" t="s">
        <v>32</v>
      </c>
      <c r="E98" s="6"/>
      <c r="F98" s="6" t="str">
        <f t="array" ref="F98">IFERROR(INDEX(Sheet14!$B$1:$B967,MATCH(A98,Sheet14!$A$1:$A967,0)),"")</f>
        <v>Gà chăm Tân thủ</v>
      </c>
      <c r="G98" s="1" t="str">
        <f t="shared" si="0"/>
        <v>Tặng</v>
      </c>
    </row>
    <row r="99" spans="1:7" ht="22.6" customHeight="1">
      <c r="A99" s="12" t="s">
        <v>77</v>
      </c>
      <c r="B99" s="13">
        <v>9.5</v>
      </c>
      <c r="C99" s="6" t="s">
        <v>27</v>
      </c>
      <c r="D99" s="6" t="s">
        <v>29</v>
      </c>
      <c r="E99" s="6"/>
      <c r="F99" s="6" t="str">
        <f t="array" ref="F99">IFERROR(INDEX(Sheet14!$B$1:$B967,MATCH(A99,Sheet14!$A$1:$A967,0)),"")</f>
        <v/>
      </c>
      <c r="G99" s="1" t="str">
        <f t="shared" si="0"/>
        <v>Tặng</v>
      </c>
    </row>
    <row r="100" spans="1:7" ht="22.6" hidden="1" customHeight="1">
      <c r="A100" s="12" t="s">
        <v>190</v>
      </c>
      <c r="B100" s="13">
        <v>9.5</v>
      </c>
      <c r="C100" s="6" t="s">
        <v>27</v>
      </c>
      <c r="D100" s="6"/>
      <c r="E100" s="6"/>
      <c r="F100" s="6" t="str">
        <f t="array" ref="F100">IFERROR(INDEX(Sheet14!$B$1:$B967,MATCH(A100,Sheet14!$A$1:$A967,0)),"")</f>
        <v>Gà chăm Tân thủ</v>
      </c>
      <c r="G100" s="1" t="str">
        <f t="shared" si="0"/>
        <v/>
      </c>
    </row>
    <row r="101" spans="1:7" ht="22.6" hidden="1" customHeight="1">
      <c r="A101" s="12" t="s">
        <v>185</v>
      </c>
      <c r="B101" s="13">
        <v>9.5</v>
      </c>
      <c r="C101" s="6" t="s">
        <v>27</v>
      </c>
      <c r="D101" s="6"/>
      <c r="E101" s="6"/>
      <c r="F101" s="6" t="str">
        <f t="array" ref="F101">IFERROR(INDEX(Sheet14!$B$1:$B967,MATCH(A101,Sheet14!$A$1:$A967,0)),"")</f>
        <v>Gà chăm Tân thủ</v>
      </c>
      <c r="G101" s="1" t="str">
        <f t="shared" si="0"/>
        <v/>
      </c>
    </row>
    <row r="102" spans="1:7" ht="22.6" customHeight="1">
      <c r="A102" s="12" t="s">
        <v>177</v>
      </c>
      <c r="B102" s="13">
        <v>9.5</v>
      </c>
      <c r="C102" s="6" t="s">
        <v>27</v>
      </c>
      <c r="D102" s="6" t="s">
        <v>29</v>
      </c>
      <c r="E102" s="6" t="s">
        <v>32</v>
      </c>
      <c r="F102" s="6" t="str">
        <f t="array" ref="F102">IFERROR(INDEX(Sheet14!$B$1:$B967,MATCH(A102,Sheet14!$A$1:$A967,0)),"")</f>
        <v/>
      </c>
      <c r="G102" s="1" t="str">
        <f t="shared" si="0"/>
        <v>Tặng</v>
      </c>
    </row>
    <row r="103" spans="1:7" ht="22.6" hidden="1" customHeight="1">
      <c r="A103" s="12" t="s">
        <v>47</v>
      </c>
      <c r="B103" s="13">
        <v>9</v>
      </c>
      <c r="C103" s="6" t="s">
        <v>27</v>
      </c>
      <c r="D103" s="6"/>
      <c r="E103" s="6"/>
      <c r="F103" s="6" t="str">
        <f t="array" ref="F103">IFERROR(INDEX(Sheet14!$B$1:$B967,MATCH(A103,Sheet14!$A$1:$A967,0)),"")</f>
        <v>Gà chăm Tân thủ</v>
      </c>
      <c r="G103" s="1" t="str">
        <f t="shared" si="0"/>
        <v/>
      </c>
    </row>
    <row r="104" spans="1:7" ht="22.6" customHeight="1">
      <c r="A104" s="12" t="s">
        <v>38</v>
      </c>
      <c r="B104" s="13">
        <v>8</v>
      </c>
      <c r="C104" s="6" t="s">
        <v>27</v>
      </c>
      <c r="D104" s="6" t="s">
        <v>29</v>
      </c>
      <c r="E104" s="6"/>
      <c r="F104" s="6" t="str">
        <f t="array" ref="F104">IFERROR(INDEX(Sheet14!$B$1:$B967,MATCH(A104,Sheet14!$A$1:$A967,0)),"")</f>
        <v/>
      </c>
      <c r="G104" s="1" t="str">
        <f t="shared" si="0"/>
        <v>Tặng</v>
      </c>
    </row>
    <row r="105" spans="1:7" ht="22.6" hidden="1" customHeight="1">
      <c r="A105" s="12" t="s">
        <v>37</v>
      </c>
      <c r="B105" s="13">
        <v>8</v>
      </c>
      <c r="C105" s="6" t="s">
        <v>27</v>
      </c>
      <c r="D105" s="6"/>
      <c r="E105" s="6"/>
      <c r="F105" s="6" t="str">
        <f t="array" ref="F105">IFERROR(INDEX(Sheet14!$B$1:$B967,MATCH(A105,Sheet14!$A$1:$A967,0)),"")</f>
        <v>Gà chăm Tân thủ</v>
      </c>
      <c r="G105" s="1" t="str">
        <f t="shared" si="0"/>
        <v/>
      </c>
    </row>
    <row r="106" spans="1:7" ht="22.6" hidden="1" customHeight="1">
      <c r="A106" s="12" t="s">
        <v>189</v>
      </c>
      <c r="B106" s="13">
        <v>8</v>
      </c>
      <c r="C106" s="6" t="s">
        <v>27</v>
      </c>
      <c r="D106" s="6"/>
      <c r="E106" s="6"/>
      <c r="F106" s="6" t="str">
        <f t="array" ref="F106">IFERROR(INDEX(Sheet14!$B$1:$B967,MATCH(A106,Sheet14!$A$1:$A967,0)),"")</f>
        <v>Gà chăm Tân thủ</v>
      </c>
      <c r="G106" s="1" t="str">
        <f t="shared" si="0"/>
        <v/>
      </c>
    </row>
    <row r="107" spans="1:7" ht="22.6" customHeight="1">
      <c r="A107" s="12" t="s">
        <v>183</v>
      </c>
      <c r="B107" s="13">
        <v>8</v>
      </c>
      <c r="C107" s="6" t="s">
        <v>27</v>
      </c>
      <c r="D107" s="6" t="s">
        <v>29</v>
      </c>
      <c r="E107" s="6"/>
      <c r="F107" s="6" t="str">
        <f t="array" ref="F107">IFERROR(INDEX(Sheet14!$B$1:$B967,MATCH(A107,Sheet14!$A$1:$A967,0)),"")</f>
        <v/>
      </c>
      <c r="G107" s="1" t="str">
        <f t="shared" si="0"/>
        <v>Tặng</v>
      </c>
    </row>
    <row r="108" spans="1:7" ht="22.6" customHeight="1">
      <c r="A108" s="12" t="s">
        <v>184</v>
      </c>
      <c r="B108" s="13">
        <v>8</v>
      </c>
      <c r="C108" s="6" t="s">
        <v>27</v>
      </c>
      <c r="D108" s="6" t="s">
        <v>29</v>
      </c>
      <c r="E108" s="6" t="s">
        <v>32</v>
      </c>
      <c r="F108" s="6" t="str">
        <f t="array" ref="F108">IFERROR(INDEX(Sheet14!$B$1:$B967,MATCH(A108,Sheet14!$A$1:$A967,0)),"")</f>
        <v/>
      </c>
      <c r="G108" s="1" t="str">
        <f t="shared" si="0"/>
        <v>Tặng</v>
      </c>
    </row>
    <row r="109" spans="1:7" ht="22.6" hidden="1" customHeight="1">
      <c r="A109" s="12" t="s">
        <v>186</v>
      </c>
      <c r="B109" s="13">
        <v>8</v>
      </c>
      <c r="C109" s="6" t="s">
        <v>27</v>
      </c>
      <c r="D109" s="6"/>
      <c r="E109" s="6"/>
      <c r="F109" s="6" t="str">
        <f t="array" ref="F109">IFERROR(INDEX(Sheet14!$B$1:$B967,MATCH(A109,Sheet14!$A$1:$A967,0)),"")</f>
        <v>Gà chăm Tân thủ</v>
      </c>
      <c r="G109" s="1" t="str">
        <f t="shared" si="0"/>
        <v/>
      </c>
    </row>
    <row r="110" spans="1:7" ht="22.6" customHeight="1">
      <c r="A110" s="12" t="s">
        <v>187</v>
      </c>
      <c r="B110" s="13">
        <v>8</v>
      </c>
      <c r="C110" s="6" t="s">
        <v>27</v>
      </c>
      <c r="D110" s="6" t="s">
        <v>29</v>
      </c>
      <c r="E110" s="6"/>
      <c r="F110" s="6" t="str">
        <f t="array" ref="F110">IFERROR(INDEX(Sheet14!$B$1:$B967,MATCH(A110,Sheet14!$A$1:$A967,0)),"")</f>
        <v/>
      </c>
      <c r="G110" s="1" t="str">
        <f t="shared" si="0"/>
        <v>Tặng</v>
      </c>
    </row>
    <row r="111" spans="1:7" ht="22.6" customHeight="1">
      <c r="A111" s="12" t="s">
        <v>191</v>
      </c>
      <c r="B111" s="13">
        <v>7.5</v>
      </c>
      <c r="C111" s="6" t="s">
        <v>27</v>
      </c>
      <c r="D111" s="6" t="s">
        <v>29</v>
      </c>
      <c r="E111" s="6"/>
      <c r="F111" s="6" t="str">
        <f t="array" ref="F111">IFERROR(INDEX(Sheet14!$B$1:$B967,MATCH(A111,Sheet14!$A$1:$A967,0)),"")</f>
        <v/>
      </c>
      <c r="G111" s="1" t="str">
        <f t="shared" si="0"/>
        <v>Tặng</v>
      </c>
    </row>
    <row r="112" spans="1:7" ht="22.6" customHeight="1">
      <c r="A112" s="12" t="s">
        <v>192</v>
      </c>
      <c r="B112" s="13">
        <v>7.5</v>
      </c>
      <c r="C112" s="6" t="s">
        <v>27</v>
      </c>
      <c r="D112" s="6" t="s">
        <v>29</v>
      </c>
      <c r="E112" s="6"/>
      <c r="F112" s="6" t="str">
        <f t="array" ref="F112">IFERROR(INDEX(Sheet14!$B$1:$B967,MATCH(A112,Sheet14!$A$1:$A967,0)),"")</f>
        <v/>
      </c>
      <c r="G112" s="1" t="str">
        <f t="shared" si="0"/>
        <v>Tặng</v>
      </c>
    </row>
    <row r="113" spans="1:7" ht="22.6" customHeight="1">
      <c r="A113" s="12" t="s">
        <v>193</v>
      </c>
      <c r="B113" s="13">
        <v>6</v>
      </c>
      <c r="C113" s="6" t="s">
        <v>27</v>
      </c>
      <c r="D113" s="6" t="s">
        <v>29</v>
      </c>
      <c r="E113" s="6"/>
      <c r="F113" s="6" t="str">
        <f t="array" ref="F113">IFERROR(INDEX(Sheet14!$B$1:$B967,MATCH(A113,Sheet14!$A$1:$A967,0)),"")</f>
        <v/>
      </c>
      <c r="G113" s="1" t="str">
        <f t="shared" si="0"/>
        <v>Tặng</v>
      </c>
    </row>
    <row r="114" spans="1:7" ht="22.6" customHeight="1">
      <c r="A114" s="12" t="s">
        <v>194</v>
      </c>
      <c r="B114" s="13">
        <v>6</v>
      </c>
      <c r="C114" s="6" t="s">
        <v>27</v>
      </c>
      <c r="D114" s="6" t="s">
        <v>29</v>
      </c>
      <c r="E114" s="6"/>
      <c r="F114" s="6" t="str">
        <f t="array" ref="F114">IFERROR(INDEX(Sheet14!$B$1:$B967,MATCH(A114,Sheet14!$A$1:$A967,0)),"")</f>
        <v/>
      </c>
      <c r="G114" s="1" t="str">
        <f t="shared" si="0"/>
        <v>Tặng</v>
      </c>
    </row>
    <row r="115" spans="1:7" ht="22.6" customHeight="1">
      <c r="A115" s="12" t="s">
        <v>195</v>
      </c>
      <c r="B115" s="13">
        <v>6</v>
      </c>
      <c r="C115" s="6" t="s">
        <v>27</v>
      </c>
      <c r="D115" s="6" t="s">
        <v>29</v>
      </c>
      <c r="E115" s="6"/>
      <c r="F115" s="6" t="str">
        <f t="array" ref="F115">IFERROR(INDEX(Sheet14!$B$1:$B967,MATCH(A115,Sheet14!$A$1:$A967,0)),"")</f>
        <v/>
      </c>
      <c r="G115" s="1" t="str">
        <f t="shared" si="0"/>
        <v>Tặng</v>
      </c>
    </row>
    <row r="116" spans="1:7" ht="22.6" customHeight="1">
      <c r="A116" s="12" t="s">
        <v>84</v>
      </c>
      <c r="B116" s="13">
        <v>6</v>
      </c>
      <c r="C116" s="6" t="s">
        <v>27</v>
      </c>
      <c r="D116" s="6" t="s">
        <v>29</v>
      </c>
      <c r="E116" s="6"/>
      <c r="F116" s="6" t="str">
        <f t="array" ref="F116">IFERROR(INDEX(Sheet14!$B$1:$B967,MATCH(A116,Sheet14!$A$1:$A967,0)),"")</f>
        <v/>
      </c>
      <c r="G116" s="1" t="str">
        <f t="shared" si="0"/>
        <v>Tặng</v>
      </c>
    </row>
    <row r="117" spans="1:7" ht="22.6" customHeight="1">
      <c r="A117" s="12" t="s">
        <v>48</v>
      </c>
      <c r="B117" s="13">
        <v>6</v>
      </c>
      <c r="C117" s="6" t="s">
        <v>27</v>
      </c>
      <c r="D117" s="6" t="s">
        <v>29</v>
      </c>
      <c r="E117" s="6"/>
      <c r="F117" s="6" t="str">
        <f t="array" ref="F117">IFERROR(INDEX(Sheet14!$B$1:$B967,MATCH(A117,Sheet14!$A$1:$A967,0)),"")</f>
        <v/>
      </c>
      <c r="G117" s="1" t="str">
        <f t="shared" si="0"/>
        <v>Tặng</v>
      </c>
    </row>
    <row r="118" spans="1:7" ht="22.6" customHeight="1">
      <c r="A118" s="12" t="s">
        <v>196</v>
      </c>
      <c r="B118" s="13">
        <v>6</v>
      </c>
      <c r="C118" s="6" t="s">
        <v>27</v>
      </c>
      <c r="D118" s="6" t="s">
        <v>29</v>
      </c>
      <c r="E118" s="6"/>
      <c r="F118" s="6" t="str">
        <f t="array" ref="F118">IFERROR(INDEX(Sheet14!$B$1:$B967,MATCH(A118,Sheet14!$A$1:$A967,0)),"")</f>
        <v/>
      </c>
      <c r="G118" s="1" t="str">
        <f t="shared" si="0"/>
        <v>Tặng</v>
      </c>
    </row>
    <row r="119" spans="1:7" ht="22.6" customHeight="1">
      <c r="A119" s="12" t="s">
        <v>197</v>
      </c>
      <c r="B119" s="13">
        <v>6</v>
      </c>
      <c r="C119" s="6" t="s">
        <v>27</v>
      </c>
      <c r="D119" s="6" t="s">
        <v>29</v>
      </c>
      <c r="E119" s="6"/>
      <c r="F119" s="6" t="str">
        <f t="array" ref="F119">IFERROR(INDEX(Sheet14!$B$1:$B967,MATCH(A119,Sheet14!$A$1:$A967,0)),"")</f>
        <v/>
      </c>
      <c r="G119" s="1" t="str">
        <f t="shared" si="0"/>
        <v>Tặng</v>
      </c>
    </row>
    <row r="120" spans="1:7" ht="22.6" customHeight="1">
      <c r="A120" s="12" t="s">
        <v>198</v>
      </c>
      <c r="B120" s="13">
        <v>6</v>
      </c>
      <c r="C120" s="6" t="s">
        <v>27</v>
      </c>
      <c r="D120" s="6" t="s">
        <v>29</v>
      </c>
      <c r="E120" s="6"/>
      <c r="F120" s="6" t="str">
        <f t="array" ref="F120">IFERROR(INDEX(Sheet14!$B$1:$B967,MATCH(A120,Sheet14!$A$1:$A967,0)),"")</f>
        <v/>
      </c>
      <c r="G120" s="1" t="str">
        <f t="shared" si="0"/>
        <v>Tặng</v>
      </c>
    </row>
    <row r="121" spans="1:7" ht="22.6" customHeight="1">
      <c r="A121" s="12" t="s">
        <v>85</v>
      </c>
      <c r="B121" s="13">
        <v>6</v>
      </c>
      <c r="C121" s="6" t="s">
        <v>27</v>
      </c>
      <c r="D121" s="6" t="s">
        <v>29</v>
      </c>
      <c r="E121" s="6"/>
      <c r="F121" s="6" t="str">
        <f t="array" ref="F121">IFERROR(INDEX(Sheet14!$B$1:$B967,MATCH(A121,Sheet14!$A$1:$A967,0)),"")</f>
        <v/>
      </c>
      <c r="G121" s="1" t="str">
        <f t="shared" si="0"/>
        <v>Tặng</v>
      </c>
    </row>
    <row r="122" spans="1:7" ht="22.6" customHeight="1">
      <c r="A122" s="12" t="s">
        <v>207</v>
      </c>
      <c r="B122" s="13">
        <v>6</v>
      </c>
      <c r="C122" s="6" t="s">
        <v>27</v>
      </c>
      <c r="D122" s="6" t="s">
        <v>29</v>
      </c>
      <c r="E122" s="6" t="s">
        <v>32</v>
      </c>
      <c r="F122" s="6" t="str">
        <f t="array" ref="F122">IFERROR(INDEX(Sheet14!$B$1:$B967,MATCH(A122,Sheet14!$A$1:$A967,0)),"")</f>
        <v/>
      </c>
      <c r="G122" s="1" t="str">
        <f t="shared" si="0"/>
        <v>Tặng</v>
      </c>
    </row>
    <row r="123" spans="1:7" ht="22.6" customHeight="1">
      <c r="A123" s="12" t="s">
        <v>208</v>
      </c>
      <c r="B123" s="13">
        <v>6</v>
      </c>
      <c r="C123" s="6" t="s">
        <v>27</v>
      </c>
      <c r="D123" s="6" t="s">
        <v>29</v>
      </c>
      <c r="E123" s="6"/>
      <c r="F123" s="6" t="str">
        <f t="array" ref="F123">IFERROR(INDEX(Sheet14!$B$1:$B967,MATCH(A123,Sheet14!$A$1:$A967,0)),"")</f>
        <v/>
      </c>
      <c r="G123" s="1" t="str">
        <f t="shared" si="0"/>
        <v>Tặng</v>
      </c>
    </row>
    <row r="124" spans="1:7" ht="22.6" customHeight="1">
      <c r="A124" s="12" t="s">
        <v>209</v>
      </c>
      <c r="B124" s="13">
        <v>6</v>
      </c>
      <c r="C124" s="6" t="s">
        <v>27</v>
      </c>
      <c r="D124" s="6" t="s">
        <v>29</v>
      </c>
      <c r="E124" s="6"/>
      <c r="F124" s="6" t="str">
        <f t="array" ref="F124">IFERROR(INDEX(Sheet14!$B$1:$B967,MATCH(A124,Sheet14!$A$1:$A967,0)),"")</f>
        <v/>
      </c>
      <c r="G124" s="1" t="str">
        <f t="shared" si="0"/>
        <v>Tặng</v>
      </c>
    </row>
    <row r="125" spans="1:7" ht="22.6" customHeight="1">
      <c r="A125" s="12" t="s">
        <v>210</v>
      </c>
      <c r="B125" s="13">
        <v>6</v>
      </c>
      <c r="C125" s="6" t="s">
        <v>27</v>
      </c>
      <c r="D125" s="6" t="s">
        <v>29</v>
      </c>
      <c r="E125" s="6"/>
      <c r="F125" s="6" t="str">
        <f t="array" ref="F125">IFERROR(INDEX(Sheet14!$B$1:$B967,MATCH(A125,Sheet14!$A$1:$A967,0)),"")</f>
        <v/>
      </c>
      <c r="G125" s="1" t="str">
        <f t="shared" si="0"/>
        <v>Tặng</v>
      </c>
    </row>
    <row r="126" spans="1:7" ht="22.6" customHeight="1">
      <c r="A126" s="12" t="s">
        <v>211</v>
      </c>
      <c r="B126" s="13">
        <v>6</v>
      </c>
      <c r="C126" s="6" t="s">
        <v>27</v>
      </c>
      <c r="D126" s="6" t="s">
        <v>29</v>
      </c>
      <c r="E126" s="6"/>
      <c r="F126" s="6" t="str">
        <f t="array" ref="F126">IFERROR(INDEX(Sheet14!$B$1:$B967,MATCH(A126,Sheet14!$A$1:$A967,0)),"")</f>
        <v/>
      </c>
      <c r="G126" s="1" t="str">
        <f t="shared" si="0"/>
        <v>Tặng</v>
      </c>
    </row>
    <row r="127" spans="1:7" ht="22.6" customHeight="1">
      <c r="A127" s="12" t="s">
        <v>212</v>
      </c>
      <c r="B127" s="13">
        <v>6</v>
      </c>
      <c r="C127" s="6" t="s">
        <v>27</v>
      </c>
      <c r="D127" s="6" t="s">
        <v>29</v>
      </c>
      <c r="E127" s="6"/>
      <c r="F127" s="6" t="str">
        <f t="array" ref="F127">IFERROR(INDEX(Sheet14!$B$1:$B967,MATCH(A127,Sheet14!$A$1:$A967,0)),"")</f>
        <v/>
      </c>
      <c r="G127" s="1" t="str">
        <f t="shared" si="0"/>
        <v>Tặng</v>
      </c>
    </row>
    <row r="128" spans="1:7" ht="22.6" customHeight="1">
      <c r="A128" s="12" t="s">
        <v>213</v>
      </c>
      <c r="B128" s="13">
        <v>6</v>
      </c>
      <c r="C128" s="6" t="s">
        <v>27</v>
      </c>
      <c r="D128" s="6" t="s">
        <v>29</v>
      </c>
      <c r="E128" s="6"/>
      <c r="F128" s="6" t="str">
        <f t="array" ref="F128">IFERROR(INDEX(Sheet14!$B$1:$B967,MATCH(A128,Sheet14!$A$1:$A967,0)),"")</f>
        <v/>
      </c>
      <c r="G128" s="1" t="str">
        <f t="shared" si="0"/>
        <v>Tặng</v>
      </c>
    </row>
    <row r="129" spans="1:7" ht="22.6" customHeight="1">
      <c r="A129" s="12" t="s">
        <v>215</v>
      </c>
      <c r="B129" s="13">
        <v>5.5</v>
      </c>
      <c r="C129" s="6" t="s">
        <v>27</v>
      </c>
      <c r="D129" s="6" t="s">
        <v>29</v>
      </c>
      <c r="E129" s="6"/>
      <c r="F129" s="6" t="str">
        <f t="array" ref="F129">IFERROR(INDEX(Sheet14!$B$1:$B967,MATCH(A129,Sheet14!$A$1:$A967,0)),"")</f>
        <v/>
      </c>
      <c r="G129" s="1" t="str">
        <f t="shared" si="0"/>
        <v>Tặng</v>
      </c>
    </row>
    <row r="130" spans="1:7" ht="22.6" customHeight="1">
      <c r="A130" s="12" t="s">
        <v>216</v>
      </c>
      <c r="B130" s="13">
        <v>5.5</v>
      </c>
      <c r="C130" s="6" t="s">
        <v>27</v>
      </c>
      <c r="D130" s="6" t="s">
        <v>29</v>
      </c>
      <c r="E130" s="6"/>
      <c r="F130" s="6" t="str">
        <f t="array" ref="F130">IFERROR(INDEX(Sheet14!$B$1:$B967,MATCH(A130,Sheet14!$A$1:$A967,0)),"")</f>
        <v/>
      </c>
      <c r="G130" s="1" t="str">
        <f t="shared" si="0"/>
        <v>Tặng</v>
      </c>
    </row>
  </sheetData>
  <dataValidations count="2">
    <dataValidation type="list" allowBlank="1" sqref="D4:D130 E4:E11 E21 E23 E30 E38 E42 E49 E58 E62 E74 E80 E102 E108 E122" xr:uid="{00000000-0002-0000-0400-000000000000}">
      <formula1>"Pin kim loại,Đế lót ly in hình Gà Learning,Standee hình Gà,Cốc in hình Gà,Bình giữ nhiệt in hình Gà Learning"</formula1>
    </dataValidation>
    <dataValidation type="list" allowBlank="1" showErrorMessage="1" sqref="I5:I14" xr:uid="{00000000-0002-0000-0400-000001000000}">
      <formula1>"Bình giữ nhiệt in hình Gà Learning,Cốc in hình Gà,Đế lót ly in hình Gà Learning,Pin kim loại,Standee hình Gà"</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94"/>
  <sheetViews>
    <sheetView workbookViewId="0">
      <pane ySplit="8" topLeftCell="A9" activePane="bottomLeft" state="frozen"/>
      <selection pane="bottomLeft" activeCell="B10" sqref="B10"/>
    </sheetView>
  </sheetViews>
  <sheetFormatPr defaultColWidth="12.625" defaultRowHeight="15.8" customHeight="1"/>
  <cols>
    <col min="1" max="1" width="32" customWidth="1"/>
    <col min="2" max="2" width="19.75" customWidth="1"/>
    <col min="3" max="3" width="47.625" customWidth="1"/>
  </cols>
  <sheetData>
    <row r="1" spans="1:6" ht="12.9">
      <c r="A1" s="1" t="s">
        <v>87</v>
      </c>
      <c r="B1" s="1">
        <v>61.5</v>
      </c>
    </row>
    <row r="2" spans="1:6" ht="14.3">
      <c r="A2" s="9"/>
      <c r="B2" s="1"/>
    </row>
    <row r="3" spans="1:6" ht="22.6" customHeight="1">
      <c r="A3" s="10" t="s">
        <v>0</v>
      </c>
      <c r="B3" s="11" t="s">
        <v>96</v>
      </c>
      <c r="C3" s="11" t="s">
        <v>97</v>
      </c>
      <c r="D3" s="11" t="s">
        <v>98</v>
      </c>
      <c r="E3" s="11" t="s">
        <v>99</v>
      </c>
      <c r="F3" s="11" t="s">
        <v>100</v>
      </c>
    </row>
    <row r="4" spans="1:6" ht="22.6" customHeight="1">
      <c r="A4" s="14" t="s">
        <v>95</v>
      </c>
      <c r="C4" s="6"/>
      <c r="D4" s="6" t="s">
        <v>32</v>
      </c>
      <c r="E4" s="6"/>
      <c r="F4" s="6" t="s">
        <v>102</v>
      </c>
    </row>
    <row r="5" spans="1:6" ht="22.6" customHeight="1">
      <c r="A5" s="14" t="s">
        <v>101</v>
      </c>
      <c r="C5" s="6"/>
      <c r="D5" s="6" t="s">
        <v>32</v>
      </c>
      <c r="E5" s="6"/>
      <c r="F5" s="6" t="s">
        <v>102</v>
      </c>
    </row>
    <row r="6" spans="1:6" ht="22.6" customHeight="1">
      <c r="A6" s="14" t="s">
        <v>103</v>
      </c>
      <c r="C6" s="6"/>
      <c r="D6" s="6" t="s">
        <v>32</v>
      </c>
      <c r="E6" s="6"/>
      <c r="F6" s="6" t="s">
        <v>104</v>
      </c>
    </row>
    <row r="7" spans="1:6" ht="22.6" customHeight="1">
      <c r="A7" s="14" t="s">
        <v>105</v>
      </c>
      <c r="C7" s="6"/>
      <c r="D7" s="6" t="s">
        <v>34</v>
      </c>
      <c r="E7" s="6"/>
      <c r="F7" s="6" t="s">
        <v>102</v>
      </c>
    </row>
    <row r="8" spans="1:6" ht="22.6" customHeight="1">
      <c r="A8" s="12" t="s">
        <v>56</v>
      </c>
      <c r="B8" s="6" t="s">
        <v>9</v>
      </c>
      <c r="C8" s="6" t="s">
        <v>106</v>
      </c>
      <c r="D8" s="6" t="s">
        <v>39</v>
      </c>
      <c r="E8" s="6"/>
      <c r="F8" s="6" t="s">
        <v>102</v>
      </c>
    </row>
    <row r="9" spans="1:6" ht="22.6" customHeight="1">
      <c r="A9" s="12" t="s">
        <v>65</v>
      </c>
      <c r="B9" s="6" t="s">
        <v>9</v>
      </c>
      <c r="C9" s="6" t="s">
        <v>36</v>
      </c>
      <c r="D9" s="6"/>
      <c r="E9" s="6"/>
      <c r="F9" s="6" t="s">
        <v>104</v>
      </c>
    </row>
    <row r="10" spans="1:6" ht="22.6" customHeight="1">
      <c r="A10" s="12" t="s">
        <v>107</v>
      </c>
      <c r="B10" s="6" t="s">
        <v>9</v>
      </c>
      <c r="C10" s="6" t="s">
        <v>108</v>
      </c>
      <c r="D10" s="6"/>
      <c r="E10" s="6"/>
      <c r="F10" s="6" t="s">
        <v>102</v>
      </c>
    </row>
    <row r="11" spans="1:6" ht="22.6" customHeight="1">
      <c r="A11" s="12" t="s">
        <v>31</v>
      </c>
      <c r="B11" s="6" t="s">
        <v>25</v>
      </c>
      <c r="C11" s="6" t="s">
        <v>34</v>
      </c>
      <c r="D11" s="6"/>
      <c r="E11" s="6"/>
      <c r="F11" s="6" t="s">
        <v>102</v>
      </c>
    </row>
    <row r="12" spans="1:6" ht="22.6" customHeight="1">
      <c r="A12" s="12" t="s">
        <v>109</v>
      </c>
      <c r="B12" s="6" t="s">
        <v>25</v>
      </c>
      <c r="C12" s="6" t="s">
        <v>110</v>
      </c>
      <c r="D12" s="6"/>
      <c r="E12" s="6"/>
      <c r="F12" s="6" t="s">
        <v>102</v>
      </c>
    </row>
    <row r="13" spans="1:6" ht="22.6" customHeight="1">
      <c r="A13" s="12" t="s">
        <v>111</v>
      </c>
      <c r="B13" s="6" t="s">
        <v>25</v>
      </c>
      <c r="C13" s="6" t="s">
        <v>112</v>
      </c>
      <c r="D13" s="6"/>
      <c r="E13" s="6"/>
      <c r="F13" s="6" t="s">
        <v>104</v>
      </c>
    </row>
    <row r="14" spans="1:6" ht="22.6" customHeight="1">
      <c r="A14" s="12" t="s">
        <v>115</v>
      </c>
      <c r="B14" s="6" t="s">
        <v>25</v>
      </c>
      <c r="C14" s="6" t="s">
        <v>112</v>
      </c>
      <c r="D14" s="6"/>
      <c r="E14" s="6"/>
      <c r="F14" s="6" t="s">
        <v>102</v>
      </c>
    </row>
    <row r="15" spans="1:6" ht="22.6" customHeight="1">
      <c r="A15" s="12" t="s">
        <v>24</v>
      </c>
      <c r="B15" s="6" t="s">
        <v>25</v>
      </c>
      <c r="C15" s="6" t="s">
        <v>34</v>
      </c>
      <c r="D15" s="6"/>
      <c r="E15" s="6"/>
      <c r="F15" s="6" t="s">
        <v>102</v>
      </c>
    </row>
    <row r="16" spans="1:6" ht="22.6" customHeight="1">
      <c r="A16" s="12" t="s">
        <v>117</v>
      </c>
      <c r="B16" s="6" t="s">
        <v>25</v>
      </c>
      <c r="C16" s="6" t="s">
        <v>112</v>
      </c>
      <c r="D16" s="6" t="s">
        <v>36</v>
      </c>
      <c r="E16" s="6"/>
      <c r="F16" s="6" t="s">
        <v>104</v>
      </c>
    </row>
    <row r="17" spans="1:6" ht="22.6" customHeight="1">
      <c r="A17" s="12" t="s">
        <v>118</v>
      </c>
      <c r="B17" s="6" t="s">
        <v>25</v>
      </c>
      <c r="C17" s="6" t="s">
        <v>112</v>
      </c>
      <c r="D17" s="6"/>
      <c r="E17" s="6"/>
      <c r="F17" s="6" t="s">
        <v>104</v>
      </c>
    </row>
    <row r="18" spans="1:6" ht="22.6" customHeight="1">
      <c r="A18" s="12" t="s">
        <v>121</v>
      </c>
      <c r="B18" s="6" t="s">
        <v>25</v>
      </c>
      <c r="C18" s="6" t="s">
        <v>110</v>
      </c>
      <c r="D18" s="6" t="s">
        <v>122</v>
      </c>
      <c r="E18" s="6"/>
      <c r="F18" s="6" t="s">
        <v>102</v>
      </c>
    </row>
    <row r="19" spans="1:6" ht="22.6" customHeight="1">
      <c r="A19" s="12" t="s">
        <v>123</v>
      </c>
      <c r="B19" s="6" t="s">
        <v>25</v>
      </c>
      <c r="C19" s="6" t="s">
        <v>110</v>
      </c>
      <c r="D19" s="6"/>
      <c r="E19" s="6"/>
      <c r="F19" s="6" t="s">
        <v>102</v>
      </c>
    </row>
    <row r="20" spans="1:6" ht="22.6" customHeight="1">
      <c r="A20" s="12" t="s">
        <v>124</v>
      </c>
      <c r="B20" s="6" t="s">
        <v>25</v>
      </c>
      <c r="C20" s="6" t="s">
        <v>34</v>
      </c>
      <c r="D20" s="6"/>
      <c r="E20" s="6"/>
      <c r="F20" s="6" t="s">
        <v>102</v>
      </c>
    </row>
    <row r="21" spans="1:6" ht="22.6" customHeight="1">
      <c r="A21" s="12" t="s">
        <v>125</v>
      </c>
      <c r="B21" s="6" t="s">
        <v>25</v>
      </c>
      <c r="C21" s="6" t="s">
        <v>112</v>
      </c>
      <c r="D21" s="6"/>
      <c r="E21" s="6"/>
      <c r="F21" s="6" t="s">
        <v>104</v>
      </c>
    </row>
    <row r="22" spans="1:6" ht="22.6" customHeight="1">
      <c r="A22" s="12" t="s">
        <v>126</v>
      </c>
      <c r="B22" s="6" t="s">
        <v>25</v>
      </c>
      <c r="C22" s="6" t="s">
        <v>112</v>
      </c>
      <c r="D22" s="6"/>
      <c r="E22" s="6"/>
      <c r="F22" s="6" t="s">
        <v>104</v>
      </c>
    </row>
    <row r="23" spans="1:6" ht="22.6" customHeight="1">
      <c r="A23" s="12" t="s">
        <v>127</v>
      </c>
      <c r="B23" s="6" t="s">
        <v>25</v>
      </c>
      <c r="C23" s="6" t="s">
        <v>112</v>
      </c>
      <c r="D23" s="6"/>
      <c r="E23" s="6"/>
      <c r="F23" s="6" t="s">
        <v>102</v>
      </c>
    </row>
    <row r="24" spans="1:6" ht="22.6" customHeight="1">
      <c r="A24" s="12" t="s">
        <v>61</v>
      </c>
      <c r="B24" s="6" t="s">
        <v>25</v>
      </c>
      <c r="C24" s="6" t="s">
        <v>112</v>
      </c>
      <c r="D24" s="6"/>
      <c r="E24" s="6"/>
      <c r="F24" s="6" t="s">
        <v>102</v>
      </c>
    </row>
    <row r="25" spans="1:6" ht="22.6" customHeight="1">
      <c r="A25" s="12" t="s">
        <v>33</v>
      </c>
      <c r="B25" s="6" t="s">
        <v>25</v>
      </c>
      <c r="C25" s="6" t="s">
        <v>34</v>
      </c>
      <c r="D25" s="6" t="s">
        <v>128</v>
      </c>
      <c r="E25" s="6"/>
      <c r="F25" s="6" t="s">
        <v>102</v>
      </c>
    </row>
    <row r="26" spans="1:6" ht="22.6" customHeight="1">
      <c r="A26" s="12" t="s">
        <v>129</v>
      </c>
      <c r="B26" s="6" t="s">
        <v>25</v>
      </c>
      <c r="C26" s="6" t="s">
        <v>112</v>
      </c>
      <c r="D26" s="6"/>
      <c r="E26" s="6"/>
      <c r="F26" s="6" t="s">
        <v>104</v>
      </c>
    </row>
    <row r="27" spans="1:6" ht="22.6" customHeight="1">
      <c r="A27" s="12" t="s">
        <v>130</v>
      </c>
      <c r="B27" s="6" t="s">
        <v>25</v>
      </c>
      <c r="C27" s="6" t="s">
        <v>112</v>
      </c>
      <c r="D27" s="6"/>
      <c r="E27" s="6"/>
      <c r="F27" s="6" t="s">
        <v>102</v>
      </c>
    </row>
    <row r="28" spans="1:6" ht="22.6" customHeight="1">
      <c r="A28" s="12" t="s">
        <v>131</v>
      </c>
      <c r="B28" s="6" t="s">
        <v>25</v>
      </c>
      <c r="C28" s="6" t="s">
        <v>112</v>
      </c>
      <c r="D28" s="6"/>
      <c r="E28" s="6"/>
      <c r="F28" s="6" t="s">
        <v>102</v>
      </c>
    </row>
    <row r="29" spans="1:6" ht="22.6" customHeight="1">
      <c r="A29" s="12" t="s">
        <v>51</v>
      </c>
      <c r="B29" s="6" t="s">
        <v>25</v>
      </c>
      <c r="C29" s="6" t="s">
        <v>34</v>
      </c>
      <c r="D29" s="6"/>
      <c r="E29" s="6"/>
      <c r="F29" s="6" t="s">
        <v>102</v>
      </c>
    </row>
    <row r="30" spans="1:6" ht="22.6" customHeight="1">
      <c r="A30" s="12" t="s">
        <v>132</v>
      </c>
      <c r="B30" s="6" t="s">
        <v>25</v>
      </c>
      <c r="C30" s="6" t="s">
        <v>112</v>
      </c>
      <c r="D30" s="6"/>
      <c r="E30" s="6"/>
      <c r="F30" s="6" t="s">
        <v>102</v>
      </c>
    </row>
    <row r="31" spans="1:6" ht="22.6" customHeight="1">
      <c r="A31" s="12" t="s">
        <v>133</v>
      </c>
      <c r="B31" s="6" t="s">
        <v>25</v>
      </c>
      <c r="C31" s="6" t="s">
        <v>112</v>
      </c>
      <c r="D31" s="6"/>
      <c r="E31" s="6"/>
      <c r="F31" s="6" t="s">
        <v>104</v>
      </c>
    </row>
    <row r="32" spans="1:6" ht="22.6" customHeight="1">
      <c r="A32" s="12" t="s">
        <v>134</v>
      </c>
      <c r="B32" s="6" t="s">
        <v>25</v>
      </c>
      <c r="C32" s="6" t="s">
        <v>112</v>
      </c>
      <c r="D32" s="6"/>
      <c r="E32" s="6"/>
      <c r="F32" s="6" t="s">
        <v>104</v>
      </c>
    </row>
    <row r="33" spans="1:6" ht="22.6" customHeight="1">
      <c r="A33" s="12" t="s">
        <v>135</v>
      </c>
      <c r="B33" s="6" t="s">
        <v>25</v>
      </c>
      <c r="C33" s="6" t="s">
        <v>112</v>
      </c>
      <c r="D33" s="6" t="s">
        <v>36</v>
      </c>
      <c r="E33" s="6"/>
      <c r="F33" s="6" t="s">
        <v>104</v>
      </c>
    </row>
    <row r="34" spans="1:6" ht="22.6" customHeight="1">
      <c r="A34" s="12" t="s">
        <v>74</v>
      </c>
      <c r="B34" s="6" t="s">
        <v>25</v>
      </c>
      <c r="C34" s="6" t="s">
        <v>112</v>
      </c>
      <c r="D34" s="6"/>
      <c r="E34" s="6"/>
      <c r="F34" s="6" t="s">
        <v>104</v>
      </c>
    </row>
    <row r="35" spans="1:6" ht="22.6" customHeight="1">
      <c r="A35" s="12" t="s">
        <v>52</v>
      </c>
      <c r="B35" s="6" t="s">
        <v>28</v>
      </c>
      <c r="C35" s="6" t="s">
        <v>136</v>
      </c>
      <c r="D35" s="6"/>
      <c r="E35" s="6"/>
      <c r="F35" s="6" t="s">
        <v>104</v>
      </c>
    </row>
    <row r="36" spans="1:6" ht="22.6" customHeight="1">
      <c r="A36" s="12" t="s">
        <v>137</v>
      </c>
      <c r="B36" s="6" t="s">
        <v>28</v>
      </c>
      <c r="C36" s="6" t="s">
        <v>136</v>
      </c>
      <c r="D36" s="6" t="s">
        <v>34</v>
      </c>
      <c r="E36" s="6"/>
      <c r="F36" s="6" t="s">
        <v>104</v>
      </c>
    </row>
    <row r="37" spans="1:6" ht="22.6" customHeight="1">
      <c r="A37" s="12" t="s">
        <v>138</v>
      </c>
      <c r="B37" s="6" t="s">
        <v>28</v>
      </c>
      <c r="C37" s="6" t="s">
        <v>136</v>
      </c>
      <c r="D37" s="6"/>
      <c r="E37" s="6"/>
      <c r="F37" s="6" t="s">
        <v>104</v>
      </c>
    </row>
    <row r="38" spans="1:6" ht="22.6" customHeight="1">
      <c r="A38" s="12" t="s">
        <v>139</v>
      </c>
      <c r="B38" s="6" t="s">
        <v>28</v>
      </c>
      <c r="C38" s="6" t="s">
        <v>136</v>
      </c>
      <c r="D38" s="6"/>
      <c r="E38" s="6"/>
      <c r="F38" s="6" t="s">
        <v>102</v>
      </c>
    </row>
    <row r="39" spans="1:6" ht="22.6" customHeight="1">
      <c r="A39" s="12" t="s">
        <v>140</v>
      </c>
      <c r="B39" s="6" t="s">
        <v>28</v>
      </c>
      <c r="C39" s="6" t="s">
        <v>136</v>
      </c>
      <c r="D39" s="6"/>
      <c r="E39" s="6"/>
      <c r="F39" s="6" t="s">
        <v>104</v>
      </c>
    </row>
    <row r="40" spans="1:6" ht="22.6" customHeight="1">
      <c r="A40" s="12" t="s">
        <v>82</v>
      </c>
      <c r="B40" s="6" t="s">
        <v>28</v>
      </c>
      <c r="C40" s="6" t="s">
        <v>136</v>
      </c>
      <c r="D40" s="6"/>
      <c r="E40" s="6"/>
      <c r="F40" s="6" t="s">
        <v>104</v>
      </c>
    </row>
    <row r="41" spans="1:6" ht="22.6" customHeight="1">
      <c r="A41" s="12" t="s">
        <v>141</v>
      </c>
      <c r="B41" s="6" t="s">
        <v>28</v>
      </c>
      <c r="C41" s="6" t="s">
        <v>136</v>
      </c>
      <c r="D41" s="6" t="s">
        <v>34</v>
      </c>
      <c r="E41" s="6"/>
      <c r="F41" s="6" t="s">
        <v>104</v>
      </c>
    </row>
    <row r="42" spans="1:6" ht="22.6" customHeight="1">
      <c r="A42" s="12" t="s">
        <v>142</v>
      </c>
      <c r="B42" s="6" t="s">
        <v>28</v>
      </c>
      <c r="C42" s="6" t="s">
        <v>136</v>
      </c>
      <c r="D42" s="6"/>
      <c r="E42" s="6"/>
      <c r="F42" s="6" t="s">
        <v>104</v>
      </c>
    </row>
    <row r="43" spans="1:6" ht="22.6" customHeight="1">
      <c r="A43" s="12" t="s">
        <v>143</v>
      </c>
      <c r="B43" s="6" t="s">
        <v>28</v>
      </c>
      <c r="C43" s="6" t="s">
        <v>136</v>
      </c>
      <c r="D43" s="6"/>
      <c r="E43" s="6"/>
      <c r="F43" s="6" t="s">
        <v>102</v>
      </c>
    </row>
    <row r="44" spans="1:6" ht="22.6" customHeight="1">
      <c r="A44" s="12" t="s">
        <v>144</v>
      </c>
      <c r="B44" s="6" t="s">
        <v>28</v>
      </c>
      <c r="C44" s="6" t="s">
        <v>136</v>
      </c>
      <c r="D44" s="6"/>
      <c r="E44" s="6"/>
      <c r="F44" s="6" t="s">
        <v>104</v>
      </c>
    </row>
    <row r="45" spans="1:6" ht="22.6" customHeight="1">
      <c r="A45" s="12" t="s">
        <v>145</v>
      </c>
      <c r="B45" s="6" t="s">
        <v>28</v>
      </c>
      <c r="C45" s="6" t="s">
        <v>136</v>
      </c>
      <c r="D45" s="6"/>
      <c r="E45" s="6"/>
      <c r="F45" s="6" t="s">
        <v>102</v>
      </c>
    </row>
    <row r="46" spans="1:6" ht="22.6" customHeight="1">
      <c r="A46" s="12" t="s">
        <v>146</v>
      </c>
      <c r="B46" s="6" t="s">
        <v>28</v>
      </c>
      <c r="C46" s="6" t="s">
        <v>32</v>
      </c>
      <c r="D46" s="6"/>
      <c r="E46" s="6"/>
      <c r="F46" s="6" t="s">
        <v>102</v>
      </c>
    </row>
    <row r="47" spans="1:6" ht="22.6" customHeight="1">
      <c r="A47" s="12" t="s">
        <v>72</v>
      </c>
      <c r="B47" s="6" t="s">
        <v>28</v>
      </c>
      <c r="C47" s="6" t="s">
        <v>136</v>
      </c>
      <c r="D47" s="6"/>
      <c r="E47" s="6"/>
      <c r="F47" s="6" t="s">
        <v>104</v>
      </c>
    </row>
    <row r="48" spans="1:6" ht="22.6" customHeight="1">
      <c r="A48" s="12" t="s">
        <v>147</v>
      </c>
      <c r="B48" s="6" t="s">
        <v>28</v>
      </c>
      <c r="C48" s="6" t="s">
        <v>136</v>
      </c>
      <c r="D48" s="6"/>
      <c r="E48" s="6"/>
      <c r="F48" s="6" t="s">
        <v>102</v>
      </c>
    </row>
    <row r="49" spans="1:6" ht="22.6" customHeight="1">
      <c r="A49" s="12" t="s">
        <v>148</v>
      </c>
      <c r="B49" s="6" t="s">
        <v>28</v>
      </c>
      <c r="C49" s="6" t="s">
        <v>136</v>
      </c>
      <c r="D49" s="6"/>
      <c r="E49" s="6"/>
      <c r="F49" s="6" t="s">
        <v>102</v>
      </c>
    </row>
    <row r="50" spans="1:6" ht="22.6" customHeight="1">
      <c r="A50" s="12" t="s">
        <v>149</v>
      </c>
      <c r="B50" s="6" t="s">
        <v>28</v>
      </c>
      <c r="C50" s="6" t="s">
        <v>136</v>
      </c>
      <c r="D50" s="6" t="s">
        <v>36</v>
      </c>
      <c r="E50" s="6"/>
      <c r="F50" s="6" t="s">
        <v>102</v>
      </c>
    </row>
    <row r="51" spans="1:6" ht="22.6" customHeight="1">
      <c r="A51" s="12" t="s">
        <v>150</v>
      </c>
      <c r="B51" s="6" t="s">
        <v>28</v>
      </c>
      <c r="C51" s="6" t="s">
        <v>136</v>
      </c>
      <c r="D51" s="6"/>
      <c r="E51" s="6"/>
      <c r="F51" s="6" t="s">
        <v>102</v>
      </c>
    </row>
    <row r="52" spans="1:6" ht="22.6" customHeight="1">
      <c r="A52" s="12" t="s">
        <v>151</v>
      </c>
      <c r="B52" s="6" t="s">
        <v>28</v>
      </c>
      <c r="C52" s="6" t="s">
        <v>136</v>
      </c>
      <c r="D52" s="6"/>
      <c r="E52" s="6"/>
      <c r="F52" s="6" t="s">
        <v>102</v>
      </c>
    </row>
    <row r="53" spans="1:6" ht="22.6" customHeight="1">
      <c r="A53" s="12" t="s">
        <v>152</v>
      </c>
      <c r="B53" s="6" t="s">
        <v>28</v>
      </c>
      <c r="C53" s="6" t="s">
        <v>32</v>
      </c>
      <c r="D53" s="6" t="s">
        <v>34</v>
      </c>
      <c r="E53" s="6"/>
      <c r="F53" s="6" t="s">
        <v>102</v>
      </c>
    </row>
    <row r="54" spans="1:6" ht="22.6" customHeight="1">
      <c r="A54" s="12" t="s">
        <v>153</v>
      </c>
      <c r="B54" s="6" t="s">
        <v>28</v>
      </c>
      <c r="C54" s="6" t="s">
        <v>32</v>
      </c>
      <c r="D54" s="6"/>
      <c r="E54" s="6"/>
      <c r="F54" s="6" t="s">
        <v>102</v>
      </c>
    </row>
    <row r="55" spans="1:6" ht="22.6" customHeight="1">
      <c r="A55" s="12" t="s">
        <v>154</v>
      </c>
      <c r="B55" s="6" t="s">
        <v>28</v>
      </c>
      <c r="C55" s="6" t="s">
        <v>136</v>
      </c>
      <c r="D55" s="6"/>
      <c r="E55" s="6"/>
      <c r="F55" s="6" t="s">
        <v>102</v>
      </c>
    </row>
    <row r="56" spans="1:6" ht="22.6" customHeight="1">
      <c r="A56" s="12" t="s">
        <v>155</v>
      </c>
      <c r="B56" s="6" t="s">
        <v>28</v>
      </c>
      <c r="C56" s="6" t="s">
        <v>136</v>
      </c>
      <c r="D56" s="6"/>
      <c r="E56" s="6"/>
      <c r="F56" s="6" t="s">
        <v>102</v>
      </c>
    </row>
    <row r="57" spans="1:6" ht="22.6" customHeight="1">
      <c r="A57" s="12" t="s">
        <v>157</v>
      </c>
      <c r="B57" s="6" t="s">
        <v>28</v>
      </c>
      <c r="C57" s="6" t="s">
        <v>136</v>
      </c>
      <c r="D57" s="6"/>
      <c r="E57" s="6"/>
      <c r="F57" s="6" t="s">
        <v>102</v>
      </c>
    </row>
    <row r="58" spans="1:6" ht="22.6" customHeight="1">
      <c r="A58" s="12" t="s">
        <v>158</v>
      </c>
      <c r="B58" s="6" t="s">
        <v>28</v>
      </c>
      <c r="C58" s="6" t="s">
        <v>136</v>
      </c>
      <c r="D58" s="6"/>
      <c r="E58" s="6"/>
      <c r="F58" s="6" t="s">
        <v>102</v>
      </c>
    </row>
    <row r="59" spans="1:6" ht="22.6" customHeight="1">
      <c r="A59" s="12" t="s">
        <v>159</v>
      </c>
      <c r="B59" s="6" t="s">
        <v>28</v>
      </c>
      <c r="C59" s="6" t="s">
        <v>136</v>
      </c>
      <c r="D59" s="6"/>
      <c r="E59" s="6"/>
      <c r="F59" s="6" t="s">
        <v>104</v>
      </c>
    </row>
    <row r="60" spans="1:6" ht="22.6" customHeight="1">
      <c r="A60" s="12" t="s">
        <v>160</v>
      </c>
      <c r="B60" s="6" t="s">
        <v>28</v>
      </c>
      <c r="C60" s="6" t="s">
        <v>136</v>
      </c>
      <c r="D60" s="6" t="s">
        <v>34</v>
      </c>
      <c r="E60" s="6"/>
      <c r="F60" s="6" t="s">
        <v>102</v>
      </c>
    </row>
    <row r="61" spans="1:6" ht="22.6" customHeight="1">
      <c r="A61" s="12" t="s">
        <v>161</v>
      </c>
      <c r="B61" s="6" t="s">
        <v>28</v>
      </c>
      <c r="C61" s="6" t="s">
        <v>136</v>
      </c>
      <c r="D61" s="6"/>
      <c r="E61" s="6"/>
      <c r="F61" s="6" t="s">
        <v>102</v>
      </c>
    </row>
    <row r="62" spans="1:6" ht="22.6" customHeight="1">
      <c r="A62" s="12" t="s">
        <v>162</v>
      </c>
      <c r="B62" s="6" t="s">
        <v>28</v>
      </c>
      <c r="C62" s="6" t="s">
        <v>136</v>
      </c>
      <c r="D62" s="6"/>
      <c r="E62" s="6"/>
      <c r="F62" s="6" t="s">
        <v>102</v>
      </c>
    </row>
    <row r="63" spans="1:6" ht="22.6" customHeight="1">
      <c r="A63" s="12" t="s">
        <v>163</v>
      </c>
      <c r="B63" s="6" t="s">
        <v>28</v>
      </c>
      <c r="C63" s="6" t="s">
        <v>136</v>
      </c>
      <c r="D63" s="6"/>
      <c r="E63" s="6"/>
      <c r="F63" s="6" t="s">
        <v>104</v>
      </c>
    </row>
    <row r="64" spans="1:6" ht="22.6" customHeight="1">
      <c r="A64" s="12" t="s">
        <v>165</v>
      </c>
      <c r="B64" s="6" t="s">
        <v>28</v>
      </c>
      <c r="C64" s="6" t="s">
        <v>136</v>
      </c>
      <c r="D64" s="6" t="s">
        <v>34</v>
      </c>
      <c r="E64" s="6"/>
      <c r="F64" s="6" t="s">
        <v>102</v>
      </c>
    </row>
    <row r="65" spans="1:6" ht="22.6" customHeight="1">
      <c r="A65" s="12" t="s">
        <v>166</v>
      </c>
      <c r="B65" s="6" t="s">
        <v>28</v>
      </c>
      <c r="C65" s="6" t="s">
        <v>136</v>
      </c>
      <c r="D65" s="6"/>
      <c r="E65" s="6"/>
      <c r="F65" s="6" t="s">
        <v>102</v>
      </c>
    </row>
    <row r="66" spans="1:6" ht="22.6" customHeight="1">
      <c r="A66" s="12" t="s">
        <v>167</v>
      </c>
      <c r="B66" s="6" t="s">
        <v>28</v>
      </c>
      <c r="C66" s="6" t="s">
        <v>136</v>
      </c>
      <c r="D66" s="6"/>
      <c r="E66" s="6"/>
      <c r="F66" s="6" t="s">
        <v>104</v>
      </c>
    </row>
    <row r="67" spans="1:6" ht="22.6" customHeight="1">
      <c r="A67" s="12" t="s">
        <v>59</v>
      </c>
      <c r="B67" s="6" t="s">
        <v>28</v>
      </c>
      <c r="C67" s="6" t="s">
        <v>136</v>
      </c>
      <c r="D67" s="6"/>
      <c r="E67" s="6"/>
      <c r="F67" s="6" t="s">
        <v>104</v>
      </c>
    </row>
    <row r="68" spans="1:6" ht="22.6" customHeight="1">
      <c r="A68" s="12" t="s">
        <v>46</v>
      </c>
      <c r="B68" s="6" t="s">
        <v>28</v>
      </c>
      <c r="C68" s="6" t="s">
        <v>32</v>
      </c>
      <c r="D68" s="6"/>
      <c r="E68" s="6"/>
      <c r="F68" s="6" t="s">
        <v>102</v>
      </c>
    </row>
    <row r="69" spans="1:6" ht="22.6" customHeight="1">
      <c r="A69" s="12" t="s">
        <v>77</v>
      </c>
      <c r="B69" s="6" t="s">
        <v>27</v>
      </c>
      <c r="C69" s="6" t="s">
        <v>29</v>
      </c>
      <c r="D69" s="6"/>
      <c r="E69" s="6"/>
      <c r="F69" s="6" t="s">
        <v>104</v>
      </c>
    </row>
    <row r="70" spans="1:6" ht="22.6" customHeight="1">
      <c r="A70" s="12" t="s">
        <v>177</v>
      </c>
      <c r="B70" s="6" t="s">
        <v>27</v>
      </c>
      <c r="C70" s="6" t="s">
        <v>29</v>
      </c>
      <c r="D70" s="6" t="s">
        <v>32</v>
      </c>
      <c r="E70" s="6"/>
      <c r="F70" s="6" t="s">
        <v>104</v>
      </c>
    </row>
    <row r="71" spans="1:6" ht="22.6" customHeight="1">
      <c r="A71" s="12" t="s">
        <v>38</v>
      </c>
      <c r="B71" s="6" t="s">
        <v>27</v>
      </c>
      <c r="C71" s="6" t="s">
        <v>29</v>
      </c>
      <c r="D71" s="6"/>
      <c r="E71" s="6"/>
      <c r="F71" s="6" t="s">
        <v>104</v>
      </c>
    </row>
    <row r="72" spans="1:6" ht="22.6" customHeight="1">
      <c r="A72" s="12" t="s">
        <v>183</v>
      </c>
      <c r="B72" s="6" t="s">
        <v>27</v>
      </c>
      <c r="C72" s="6" t="s">
        <v>29</v>
      </c>
      <c r="D72" s="6"/>
      <c r="E72" s="6"/>
      <c r="F72" s="6" t="s">
        <v>104</v>
      </c>
    </row>
    <row r="73" spans="1:6" ht="22.6" customHeight="1">
      <c r="A73" s="12" t="s">
        <v>184</v>
      </c>
      <c r="B73" s="6" t="s">
        <v>27</v>
      </c>
      <c r="C73" s="6" t="s">
        <v>29</v>
      </c>
      <c r="D73" s="6" t="s">
        <v>32</v>
      </c>
      <c r="E73" s="6"/>
      <c r="F73" s="6" t="s">
        <v>104</v>
      </c>
    </row>
    <row r="74" spans="1:6" ht="22.6" customHeight="1">
      <c r="A74" s="12" t="s">
        <v>187</v>
      </c>
      <c r="B74" s="6" t="s">
        <v>27</v>
      </c>
      <c r="C74" s="6" t="s">
        <v>29</v>
      </c>
      <c r="D74" s="6"/>
      <c r="E74" s="6"/>
      <c r="F74" s="6" t="s">
        <v>102</v>
      </c>
    </row>
    <row r="75" spans="1:6" ht="22.6" customHeight="1">
      <c r="A75" s="12" t="s">
        <v>191</v>
      </c>
      <c r="B75" s="6" t="s">
        <v>27</v>
      </c>
      <c r="C75" s="6" t="s">
        <v>29</v>
      </c>
      <c r="D75" s="6"/>
      <c r="E75" s="6"/>
      <c r="F75" s="6" t="s">
        <v>104</v>
      </c>
    </row>
    <row r="76" spans="1:6" ht="22.6" customHeight="1">
      <c r="A76" s="12" t="s">
        <v>192</v>
      </c>
      <c r="B76" s="6" t="s">
        <v>27</v>
      </c>
      <c r="C76" s="6" t="s">
        <v>29</v>
      </c>
      <c r="D76" s="6"/>
      <c r="E76" s="6"/>
      <c r="F76" s="6" t="s">
        <v>104</v>
      </c>
    </row>
    <row r="77" spans="1:6" ht="22.6" customHeight="1">
      <c r="A77" s="12" t="s">
        <v>193</v>
      </c>
      <c r="B77" s="6" t="s">
        <v>27</v>
      </c>
      <c r="C77" s="6" t="s">
        <v>29</v>
      </c>
      <c r="D77" s="6"/>
      <c r="E77" s="6"/>
      <c r="F77" s="6" t="s">
        <v>102</v>
      </c>
    </row>
    <row r="78" spans="1:6" ht="22.6" customHeight="1">
      <c r="A78" s="12" t="s">
        <v>194</v>
      </c>
      <c r="B78" s="6" t="s">
        <v>27</v>
      </c>
      <c r="C78" s="6" t="s">
        <v>29</v>
      </c>
      <c r="D78" s="6"/>
      <c r="E78" s="6"/>
      <c r="F78" s="6" t="s">
        <v>104</v>
      </c>
    </row>
    <row r="79" spans="1:6" ht="22.6" customHeight="1">
      <c r="A79" s="12" t="s">
        <v>195</v>
      </c>
      <c r="B79" s="6" t="s">
        <v>27</v>
      </c>
      <c r="C79" s="6" t="s">
        <v>29</v>
      </c>
      <c r="D79" s="6"/>
      <c r="E79" s="6"/>
      <c r="F79" s="6" t="s">
        <v>102</v>
      </c>
    </row>
    <row r="80" spans="1:6" ht="22.6" customHeight="1">
      <c r="A80" s="12" t="s">
        <v>84</v>
      </c>
      <c r="B80" s="6" t="s">
        <v>27</v>
      </c>
      <c r="C80" s="6" t="s">
        <v>29</v>
      </c>
      <c r="D80" s="6"/>
      <c r="E80" s="6"/>
      <c r="F80" s="6" t="s">
        <v>104</v>
      </c>
    </row>
    <row r="81" spans="1:6" ht="22.6" customHeight="1">
      <c r="A81" s="12" t="s">
        <v>48</v>
      </c>
      <c r="B81" s="6" t="s">
        <v>27</v>
      </c>
      <c r="C81" s="6" t="s">
        <v>29</v>
      </c>
      <c r="D81" s="6"/>
      <c r="E81" s="6"/>
      <c r="F81" s="6" t="s">
        <v>102</v>
      </c>
    </row>
    <row r="82" spans="1:6" ht="22.6" customHeight="1">
      <c r="A82" s="12" t="s">
        <v>196</v>
      </c>
      <c r="B82" s="6" t="s">
        <v>27</v>
      </c>
      <c r="C82" s="6" t="s">
        <v>29</v>
      </c>
      <c r="D82" s="6"/>
      <c r="E82" s="6"/>
      <c r="F82" s="6" t="s">
        <v>102</v>
      </c>
    </row>
    <row r="83" spans="1:6" ht="22.6" customHeight="1">
      <c r="A83" s="12" t="s">
        <v>197</v>
      </c>
      <c r="B83" s="6" t="s">
        <v>27</v>
      </c>
      <c r="C83" s="6" t="s">
        <v>29</v>
      </c>
      <c r="D83" s="6"/>
      <c r="E83" s="6"/>
      <c r="F83" s="6" t="s">
        <v>104</v>
      </c>
    </row>
    <row r="84" spans="1:6" ht="22.6" customHeight="1">
      <c r="A84" s="12" t="s">
        <v>198</v>
      </c>
      <c r="B84" s="6" t="s">
        <v>27</v>
      </c>
      <c r="C84" s="6" t="s">
        <v>29</v>
      </c>
      <c r="D84" s="6"/>
      <c r="E84" s="6"/>
      <c r="F84" s="6" t="s">
        <v>104</v>
      </c>
    </row>
    <row r="85" spans="1:6" ht="22.6" customHeight="1">
      <c r="A85" s="12" t="s">
        <v>85</v>
      </c>
      <c r="B85" s="6" t="s">
        <v>27</v>
      </c>
      <c r="C85" s="6" t="s">
        <v>29</v>
      </c>
      <c r="D85" s="6"/>
      <c r="E85" s="6"/>
      <c r="F85" s="6" t="s">
        <v>104</v>
      </c>
    </row>
    <row r="86" spans="1:6" ht="22.6" customHeight="1">
      <c r="A86" s="12" t="s">
        <v>207</v>
      </c>
      <c r="B86" s="6" t="s">
        <v>27</v>
      </c>
      <c r="C86" s="6" t="s">
        <v>29</v>
      </c>
      <c r="D86" s="6" t="s">
        <v>32</v>
      </c>
      <c r="E86" s="6"/>
      <c r="F86" s="6" t="s">
        <v>104</v>
      </c>
    </row>
    <row r="87" spans="1:6" ht="22.6" customHeight="1">
      <c r="A87" s="12" t="s">
        <v>208</v>
      </c>
      <c r="B87" s="6" t="s">
        <v>27</v>
      </c>
      <c r="C87" s="6" t="s">
        <v>29</v>
      </c>
      <c r="D87" s="6"/>
      <c r="E87" s="6"/>
      <c r="F87" s="6" t="s">
        <v>104</v>
      </c>
    </row>
    <row r="88" spans="1:6" ht="22.6" customHeight="1">
      <c r="A88" s="12" t="s">
        <v>209</v>
      </c>
      <c r="B88" s="6" t="s">
        <v>27</v>
      </c>
      <c r="C88" s="6" t="s">
        <v>29</v>
      </c>
      <c r="D88" s="6"/>
      <c r="E88" s="6"/>
      <c r="F88" s="6" t="s">
        <v>104</v>
      </c>
    </row>
    <row r="89" spans="1:6" ht="22.6" customHeight="1">
      <c r="A89" s="12" t="s">
        <v>210</v>
      </c>
      <c r="B89" s="6" t="s">
        <v>27</v>
      </c>
      <c r="C89" s="6" t="s">
        <v>29</v>
      </c>
      <c r="D89" s="6"/>
      <c r="E89" s="6"/>
      <c r="F89" s="6" t="s">
        <v>102</v>
      </c>
    </row>
    <row r="90" spans="1:6" ht="22.6" customHeight="1">
      <c r="A90" s="12" t="s">
        <v>211</v>
      </c>
      <c r="B90" s="6" t="s">
        <v>27</v>
      </c>
      <c r="C90" s="6" t="s">
        <v>29</v>
      </c>
      <c r="D90" s="6"/>
      <c r="E90" s="6"/>
      <c r="F90" s="6" t="s">
        <v>102</v>
      </c>
    </row>
    <row r="91" spans="1:6" ht="22.6" customHeight="1">
      <c r="A91" s="12" t="s">
        <v>212</v>
      </c>
      <c r="B91" s="6" t="s">
        <v>27</v>
      </c>
      <c r="C91" s="6" t="s">
        <v>29</v>
      </c>
      <c r="D91" s="6"/>
      <c r="E91" s="6"/>
      <c r="F91" s="6" t="s">
        <v>102</v>
      </c>
    </row>
    <row r="92" spans="1:6" ht="22.6" customHeight="1">
      <c r="A92" s="12" t="s">
        <v>213</v>
      </c>
      <c r="B92" s="6" t="s">
        <v>27</v>
      </c>
      <c r="C92" s="6" t="s">
        <v>29</v>
      </c>
      <c r="D92" s="6"/>
      <c r="E92" s="6"/>
      <c r="F92" s="6" t="s">
        <v>102</v>
      </c>
    </row>
    <row r="93" spans="1:6" ht="22.6" customHeight="1">
      <c r="A93" s="12" t="s">
        <v>215</v>
      </c>
      <c r="B93" s="6" t="s">
        <v>27</v>
      </c>
      <c r="C93" s="6" t="s">
        <v>29</v>
      </c>
      <c r="D93" s="6"/>
      <c r="E93" s="6"/>
      <c r="F93" s="6" t="s">
        <v>104</v>
      </c>
    </row>
    <row r="94" spans="1:6" ht="22.6" customHeight="1">
      <c r="A94" s="12" t="s">
        <v>216</v>
      </c>
      <c r="B94" s="6" t="s">
        <v>27</v>
      </c>
      <c r="C94" s="6" t="s">
        <v>29</v>
      </c>
      <c r="D94" s="6"/>
      <c r="E94" s="6"/>
      <c r="F94" s="6" t="s">
        <v>102</v>
      </c>
    </row>
  </sheetData>
  <dataValidations count="1">
    <dataValidation type="list" allowBlank="1" sqref="C4:C94 D4:D8 D16 D18 D25 D33 D36 D41 D50 D53 D60 D64 D70 D73 D86" xr:uid="{00000000-0002-0000-0500-000000000000}">
      <formula1>"Pin kim loại,Đế lót ly in hình Gà Learning,Standee hình Gà,Cốc in hình Gà,Bình giữ nhiệt in hình Gà Learning"</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53"/>
  <sheetViews>
    <sheetView workbookViewId="0"/>
  </sheetViews>
  <sheetFormatPr defaultColWidth="12.625" defaultRowHeight="15.8" customHeight="1"/>
  <sheetData>
    <row r="1" spans="1:2" ht="15.8" customHeight="1">
      <c r="A1" s="15" t="s">
        <v>120</v>
      </c>
      <c r="B1" s="16" t="s">
        <v>25</v>
      </c>
    </row>
    <row r="2" spans="1:2">
      <c r="A2" s="17" t="s">
        <v>164</v>
      </c>
      <c r="B2" s="18" t="s">
        <v>28</v>
      </c>
    </row>
    <row r="3" spans="1:2">
      <c r="A3" s="17" t="s">
        <v>156</v>
      </c>
      <c r="B3" s="19" t="s">
        <v>28</v>
      </c>
    </row>
    <row r="4" spans="1:2">
      <c r="A4" s="17" t="s">
        <v>168</v>
      </c>
      <c r="B4" s="18" t="s">
        <v>28</v>
      </c>
    </row>
    <row r="5" spans="1:2">
      <c r="A5" s="17" t="s">
        <v>169</v>
      </c>
      <c r="B5" s="19" t="s">
        <v>28</v>
      </c>
    </row>
    <row r="6" spans="1:2">
      <c r="A6" s="17" t="s">
        <v>170</v>
      </c>
      <c r="B6" s="18" t="s">
        <v>28</v>
      </c>
    </row>
    <row r="7" spans="1:2">
      <c r="A7" s="17" t="s">
        <v>171</v>
      </c>
      <c r="B7" s="19" t="s">
        <v>28</v>
      </c>
    </row>
    <row r="8" spans="1:2">
      <c r="A8" s="17" t="s">
        <v>172</v>
      </c>
      <c r="B8" s="18" t="s">
        <v>28</v>
      </c>
    </row>
    <row r="9" spans="1:2">
      <c r="A9" s="17" t="s">
        <v>174</v>
      </c>
      <c r="B9" s="19" t="s">
        <v>28</v>
      </c>
    </row>
    <row r="10" spans="1:2">
      <c r="A10" s="17" t="s">
        <v>175</v>
      </c>
      <c r="B10" s="18" t="s">
        <v>28</v>
      </c>
    </row>
    <row r="11" spans="1:2">
      <c r="A11" s="17" t="s">
        <v>124</v>
      </c>
      <c r="B11" s="19" t="s">
        <v>28</v>
      </c>
    </row>
    <row r="12" spans="1:2">
      <c r="A12" s="17" t="s">
        <v>56</v>
      </c>
      <c r="B12" s="18" t="s">
        <v>28</v>
      </c>
    </row>
    <row r="13" spans="1:2">
      <c r="A13" s="17" t="s">
        <v>176</v>
      </c>
      <c r="B13" s="19" t="s">
        <v>28</v>
      </c>
    </row>
    <row r="14" spans="1:2">
      <c r="A14" s="17" t="s">
        <v>67</v>
      </c>
      <c r="B14" s="18" t="s">
        <v>28</v>
      </c>
    </row>
    <row r="15" spans="1:2">
      <c r="A15" s="17" t="s">
        <v>35</v>
      </c>
      <c r="B15" s="19" t="s">
        <v>28</v>
      </c>
    </row>
    <row r="16" spans="1:2">
      <c r="A16" s="17" t="s">
        <v>51</v>
      </c>
      <c r="B16" s="18" t="s">
        <v>28</v>
      </c>
    </row>
    <row r="17" spans="1:2">
      <c r="A17" s="17" t="s">
        <v>178</v>
      </c>
      <c r="B17" s="19" t="s">
        <v>28</v>
      </c>
    </row>
    <row r="18" spans="1:2">
      <c r="A18" s="17" t="s">
        <v>105</v>
      </c>
      <c r="B18" s="18" t="s">
        <v>28</v>
      </c>
    </row>
    <row r="19" spans="1:2">
      <c r="A19" s="17" t="s">
        <v>179</v>
      </c>
      <c r="B19" s="19" t="s">
        <v>28</v>
      </c>
    </row>
    <row r="20" spans="1:2">
      <c r="A20" s="17" t="s">
        <v>180</v>
      </c>
      <c r="B20" s="18" t="s">
        <v>28</v>
      </c>
    </row>
    <row r="21" spans="1:2">
      <c r="A21" s="17" t="s">
        <v>45</v>
      </c>
      <c r="B21" s="19" t="s">
        <v>28</v>
      </c>
    </row>
    <row r="22" spans="1:2">
      <c r="A22" s="17" t="s">
        <v>181</v>
      </c>
      <c r="B22" s="18" t="s">
        <v>28</v>
      </c>
    </row>
    <row r="23" spans="1:2">
      <c r="A23" s="17" t="s">
        <v>182</v>
      </c>
      <c r="B23" s="19" t="s">
        <v>28</v>
      </c>
    </row>
    <row r="24" spans="1:2">
      <c r="A24" s="17" t="s">
        <v>173</v>
      </c>
      <c r="B24" s="18" t="s">
        <v>28</v>
      </c>
    </row>
    <row r="25" spans="1:2">
      <c r="A25" s="17" t="s">
        <v>40</v>
      </c>
      <c r="B25" s="19" t="s">
        <v>28</v>
      </c>
    </row>
    <row r="26" spans="1:2">
      <c r="A26" s="17" t="s">
        <v>41</v>
      </c>
      <c r="B26" s="18" t="s">
        <v>28</v>
      </c>
    </row>
    <row r="27" spans="1:2">
      <c r="A27" s="17" t="s">
        <v>43</v>
      </c>
      <c r="B27" s="19" t="s">
        <v>28</v>
      </c>
    </row>
    <row r="28" spans="1:2">
      <c r="A28" s="17" t="s">
        <v>44</v>
      </c>
      <c r="B28" s="18" t="s">
        <v>28</v>
      </c>
    </row>
    <row r="29" spans="1:2">
      <c r="A29" s="17" t="s">
        <v>109</v>
      </c>
      <c r="B29" s="20" t="s">
        <v>27</v>
      </c>
    </row>
    <row r="30" spans="1:2">
      <c r="A30" s="17" t="s">
        <v>185</v>
      </c>
      <c r="B30" s="21" t="s">
        <v>27</v>
      </c>
    </row>
    <row r="31" spans="1:2">
      <c r="A31" s="17" t="s">
        <v>123</v>
      </c>
      <c r="B31" s="20" t="s">
        <v>27</v>
      </c>
    </row>
    <row r="32" spans="1:2" ht="12.9">
      <c r="A32" s="17" t="s">
        <v>47</v>
      </c>
      <c r="B32" s="21" t="s">
        <v>27</v>
      </c>
    </row>
    <row r="33" spans="1:2" ht="12.9">
      <c r="A33" s="17" t="s">
        <v>186</v>
      </c>
      <c r="B33" s="20" t="s">
        <v>27</v>
      </c>
    </row>
    <row r="34" spans="1:2" ht="12.9">
      <c r="A34" s="17" t="s">
        <v>153</v>
      </c>
      <c r="B34" s="21" t="s">
        <v>27</v>
      </c>
    </row>
    <row r="35" spans="1:2" ht="12.9">
      <c r="A35" s="17" t="s">
        <v>188</v>
      </c>
      <c r="B35" s="20" t="s">
        <v>27</v>
      </c>
    </row>
    <row r="36" spans="1:2" ht="12.9">
      <c r="A36" s="17" t="s">
        <v>152</v>
      </c>
      <c r="B36" s="21" t="s">
        <v>27</v>
      </c>
    </row>
    <row r="37" spans="1:2" ht="12.9">
      <c r="A37" s="17" t="s">
        <v>121</v>
      </c>
      <c r="B37" s="20" t="s">
        <v>27</v>
      </c>
    </row>
    <row r="38" spans="1:2" ht="12.9">
      <c r="A38" s="17" t="s">
        <v>189</v>
      </c>
      <c r="B38" s="21" t="s">
        <v>27</v>
      </c>
    </row>
    <row r="39" spans="1:2" ht="12.9">
      <c r="A39" s="17" t="s">
        <v>190</v>
      </c>
      <c r="B39" s="20" t="s">
        <v>27</v>
      </c>
    </row>
    <row r="40" spans="1:2" ht="12.9">
      <c r="A40" s="17" t="s">
        <v>146</v>
      </c>
      <c r="B40" s="21" t="s">
        <v>27</v>
      </c>
    </row>
    <row r="41" spans="1:2" ht="12.9">
      <c r="A41" s="22" t="s">
        <v>2</v>
      </c>
      <c r="B41" s="23" t="s">
        <v>9</v>
      </c>
    </row>
    <row r="42" spans="1:2" ht="12.9">
      <c r="A42" s="22" t="s">
        <v>24</v>
      </c>
      <c r="B42" s="23" t="s">
        <v>28</v>
      </c>
    </row>
    <row r="43" spans="1:2" ht="12.9">
      <c r="A43" s="22" t="s">
        <v>31</v>
      </c>
      <c r="B43" s="23" t="s">
        <v>28</v>
      </c>
    </row>
    <row r="44" spans="1:2" ht="12.9">
      <c r="A44" s="22" t="s">
        <v>33</v>
      </c>
      <c r="B44" s="23" t="s">
        <v>28</v>
      </c>
    </row>
    <row r="45" spans="1:2" ht="12.9">
      <c r="A45" s="22" t="s">
        <v>35</v>
      </c>
      <c r="B45" s="23" t="s">
        <v>27</v>
      </c>
    </row>
    <row r="46" spans="1:2" ht="12.9">
      <c r="A46" s="22" t="s">
        <v>40</v>
      </c>
      <c r="B46" s="23" t="s">
        <v>27</v>
      </c>
    </row>
    <row r="47" spans="1:2" ht="12.9">
      <c r="A47" s="22" t="s">
        <v>41</v>
      </c>
      <c r="B47" s="23" t="s">
        <v>27</v>
      </c>
    </row>
    <row r="48" spans="1:2" ht="12.9">
      <c r="A48" s="22" t="s">
        <v>43</v>
      </c>
      <c r="B48" s="23" t="s">
        <v>27</v>
      </c>
    </row>
    <row r="49" spans="1:2" ht="12.9">
      <c r="A49" s="22" t="s">
        <v>44</v>
      </c>
      <c r="B49" s="23" t="s">
        <v>27</v>
      </c>
    </row>
    <row r="50" spans="1:2" ht="12.9">
      <c r="A50" s="22" t="s">
        <v>45</v>
      </c>
      <c r="B50" s="23" t="s">
        <v>27</v>
      </c>
    </row>
    <row r="51" spans="1:2" ht="12.9">
      <c r="A51" s="22" t="s">
        <v>46</v>
      </c>
      <c r="B51" s="23" t="s">
        <v>27</v>
      </c>
    </row>
    <row r="52" spans="1:2" ht="12.9">
      <c r="A52" s="22" t="s">
        <v>37</v>
      </c>
      <c r="B52" s="23" t="s">
        <v>27</v>
      </c>
    </row>
    <row r="53" spans="1:2" ht="12.9">
      <c r="A53" s="22" t="s">
        <v>94</v>
      </c>
      <c r="B53" s="23" t="s">
        <v>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outlinePr summaryBelow="0" summaryRight="0"/>
  </sheetPr>
  <dimension ref="A1:F744"/>
  <sheetViews>
    <sheetView workbookViewId="0">
      <pane ySplit="1" topLeftCell="A2" activePane="bottomLeft" state="frozen"/>
      <selection pane="bottomLeft" activeCell="B3" sqref="B3"/>
    </sheetView>
  </sheetViews>
  <sheetFormatPr defaultColWidth="12.625" defaultRowHeight="15.8" customHeight="1"/>
  <cols>
    <col min="1" max="1" width="28.625" customWidth="1"/>
    <col min="2" max="2" width="25.875" customWidth="1"/>
    <col min="3" max="3" width="30.625" customWidth="1"/>
    <col min="4" max="4" width="20.625" customWidth="1"/>
    <col min="5" max="6" width="16.75" customWidth="1"/>
  </cols>
  <sheetData>
    <row r="1" spans="1:6" ht="22.6" customHeight="1">
      <c r="A1" s="24" t="s">
        <v>0</v>
      </c>
      <c r="B1" s="24" t="s">
        <v>199</v>
      </c>
      <c r="C1" s="24" t="s">
        <v>200</v>
      </c>
      <c r="D1" s="24" t="s">
        <v>201</v>
      </c>
      <c r="E1" s="24" t="s">
        <v>202</v>
      </c>
      <c r="F1" s="24" t="s">
        <v>203</v>
      </c>
    </row>
    <row r="2" spans="1:6" ht="22.6" customHeight="1">
      <c r="A2" s="25" t="s">
        <v>2</v>
      </c>
      <c r="B2" s="26">
        <v>65</v>
      </c>
      <c r="C2" s="25" t="s">
        <v>204</v>
      </c>
      <c r="D2" s="25" t="s">
        <v>205</v>
      </c>
      <c r="E2" s="27">
        <v>45524</v>
      </c>
      <c r="F2" s="27">
        <v>45708</v>
      </c>
    </row>
    <row r="3" spans="1:6" ht="22.6" customHeight="1">
      <c r="A3" s="25" t="s">
        <v>35</v>
      </c>
      <c r="B3" s="26">
        <v>6</v>
      </c>
      <c r="C3" s="25" t="s">
        <v>206</v>
      </c>
      <c r="D3" s="25" t="s">
        <v>205</v>
      </c>
      <c r="E3" s="27">
        <v>45706</v>
      </c>
      <c r="F3" s="27">
        <v>45706</v>
      </c>
    </row>
    <row r="4" spans="1:6" ht="22.6" customHeight="1">
      <c r="A4" s="25" t="s">
        <v>45</v>
      </c>
      <c r="B4" s="26">
        <v>6</v>
      </c>
      <c r="C4" s="25" t="s">
        <v>206</v>
      </c>
      <c r="D4" s="25" t="s">
        <v>205</v>
      </c>
      <c r="E4" s="27">
        <v>45706</v>
      </c>
      <c r="F4" s="27">
        <v>45706</v>
      </c>
    </row>
    <row r="5" spans="1:6" ht="22.6" customHeight="1">
      <c r="A5" s="25" t="s">
        <v>44</v>
      </c>
      <c r="B5" s="26">
        <v>6</v>
      </c>
      <c r="C5" s="25" t="s">
        <v>206</v>
      </c>
      <c r="D5" s="25" t="s">
        <v>205</v>
      </c>
      <c r="E5" s="27">
        <v>45706</v>
      </c>
      <c r="F5" s="27">
        <v>45706</v>
      </c>
    </row>
    <row r="6" spans="1:6" ht="22.6" customHeight="1">
      <c r="A6" s="25" t="s">
        <v>40</v>
      </c>
      <c r="B6" s="26">
        <v>6</v>
      </c>
      <c r="C6" s="25" t="s">
        <v>206</v>
      </c>
      <c r="D6" s="25" t="s">
        <v>205</v>
      </c>
      <c r="E6" s="27">
        <v>45706</v>
      </c>
      <c r="F6" s="27">
        <v>45706</v>
      </c>
    </row>
    <row r="7" spans="1:6" ht="22.6" customHeight="1">
      <c r="A7" s="25" t="s">
        <v>43</v>
      </c>
      <c r="B7" s="26">
        <v>6</v>
      </c>
      <c r="C7" s="25" t="s">
        <v>206</v>
      </c>
      <c r="D7" s="25" t="s">
        <v>205</v>
      </c>
      <c r="E7" s="27">
        <v>45706</v>
      </c>
      <c r="F7" s="27">
        <v>45706</v>
      </c>
    </row>
    <row r="8" spans="1:6" ht="22.6" customHeight="1">
      <c r="A8" s="25" t="s">
        <v>41</v>
      </c>
      <c r="B8" s="26">
        <v>6</v>
      </c>
      <c r="C8" s="25" t="s">
        <v>206</v>
      </c>
      <c r="D8" s="25" t="s">
        <v>205</v>
      </c>
      <c r="E8" s="27">
        <v>45706</v>
      </c>
      <c r="F8" s="27">
        <v>45706</v>
      </c>
    </row>
    <row r="9" spans="1:6" ht="22.6" customHeight="1">
      <c r="A9" s="25" t="s">
        <v>37</v>
      </c>
      <c r="B9" s="26">
        <v>6</v>
      </c>
      <c r="C9" s="25" t="s">
        <v>206</v>
      </c>
      <c r="D9" s="25" t="s">
        <v>205</v>
      </c>
      <c r="E9" s="27">
        <v>45706</v>
      </c>
      <c r="F9" s="27">
        <v>45706</v>
      </c>
    </row>
    <row r="10" spans="1:6" ht="22.6" customHeight="1">
      <c r="A10" s="25" t="s">
        <v>46</v>
      </c>
      <c r="B10" s="26">
        <v>5</v>
      </c>
      <c r="C10" s="25" t="s">
        <v>206</v>
      </c>
      <c r="D10" s="25" t="s">
        <v>205</v>
      </c>
      <c r="E10" s="27">
        <v>45706</v>
      </c>
      <c r="F10" s="27">
        <v>45706</v>
      </c>
    </row>
    <row r="11" spans="1:6" ht="22.6" customHeight="1">
      <c r="A11" s="25" t="s">
        <v>47</v>
      </c>
      <c r="B11" s="26">
        <v>3</v>
      </c>
      <c r="C11" s="25" t="s">
        <v>206</v>
      </c>
      <c r="D11" s="25" t="s">
        <v>205</v>
      </c>
      <c r="E11" s="27">
        <v>45706</v>
      </c>
      <c r="F11" s="27">
        <v>45706</v>
      </c>
    </row>
    <row r="12" spans="1:6" ht="22.6" customHeight="1">
      <c r="A12" s="25" t="s">
        <v>33</v>
      </c>
      <c r="B12" s="26">
        <v>12.5</v>
      </c>
      <c r="C12" s="25" t="s">
        <v>214</v>
      </c>
      <c r="D12" s="25" t="s">
        <v>205</v>
      </c>
      <c r="E12" s="27">
        <v>45663</v>
      </c>
      <c r="F12" s="27">
        <v>45705</v>
      </c>
    </row>
    <row r="13" spans="1:6" ht="22.6" customHeight="1">
      <c r="A13" s="25" t="s">
        <v>24</v>
      </c>
      <c r="B13" s="26">
        <v>12.5</v>
      </c>
      <c r="C13" s="25" t="s">
        <v>214</v>
      </c>
      <c r="D13" s="25" t="s">
        <v>205</v>
      </c>
      <c r="E13" s="27">
        <v>45663</v>
      </c>
      <c r="F13" s="27">
        <v>45705</v>
      </c>
    </row>
    <row r="14" spans="1:6" ht="22.6" customHeight="1">
      <c r="A14" s="25" t="s">
        <v>31</v>
      </c>
      <c r="B14" s="26">
        <v>12.5</v>
      </c>
      <c r="C14" s="25" t="s">
        <v>214</v>
      </c>
      <c r="D14" s="25" t="s">
        <v>205</v>
      </c>
      <c r="E14" s="27">
        <v>45663</v>
      </c>
      <c r="F14" s="27">
        <v>45705</v>
      </c>
    </row>
    <row r="15" spans="1:6" ht="22.6" customHeight="1">
      <c r="A15" s="25"/>
      <c r="B15" s="26"/>
      <c r="C15" s="25"/>
      <c r="D15" s="25"/>
      <c r="E15" s="27"/>
      <c r="F15" s="27"/>
    </row>
    <row r="16" spans="1:6" ht="22.6" customHeight="1">
      <c r="A16" s="25"/>
      <c r="B16" s="26"/>
      <c r="C16" s="25"/>
      <c r="D16" s="25"/>
      <c r="E16" s="27"/>
      <c r="F16" s="27"/>
    </row>
    <row r="17" spans="1:6" ht="22.6" customHeight="1">
      <c r="A17" s="25"/>
      <c r="B17" s="26"/>
      <c r="C17" s="25"/>
      <c r="D17" s="25"/>
      <c r="E17" s="27"/>
      <c r="F17" s="27"/>
    </row>
    <row r="18" spans="1:6" ht="22.6" customHeight="1">
      <c r="A18" s="25"/>
      <c r="B18" s="26"/>
      <c r="C18" s="25"/>
      <c r="D18" s="25"/>
      <c r="E18" s="27"/>
      <c r="F18" s="27"/>
    </row>
    <row r="19" spans="1:6" ht="22.6" customHeight="1">
      <c r="A19" s="25"/>
      <c r="B19" s="26"/>
      <c r="C19" s="25"/>
      <c r="D19" s="25"/>
      <c r="E19" s="27"/>
      <c r="F19" s="27"/>
    </row>
    <row r="20" spans="1:6" ht="22.6" customHeight="1">
      <c r="A20" s="25"/>
      <c r="B20" s="26"/>
      <c r="C20" s="25"/>
      <c r="D20" s="25"/>
      <c r="E20" s="27"/>
      <c r="F20" s="27"/>
    </row>
    <row r="21" spans="1:6" ht="22.6" customHeight="1">
      <c r="A21" s="25"/>
      <c r="B21" s="26"/>
      <c r="C21" s="25"/>
      <c r="D21" s="25"/>
      <c r="E21" s="27"/>
      <c r="F21" s="27"/>
    </row>
    <row r="22" spans="1:6" ht="22.6" customHeight="1">
      <c r="A22" s="25"/>
      <c r="B22" s="26"/>
      <c r="C22" s="25"/>
      <c r="D22" s="25"/>
      <c r="E22" s="27"/>
      <c r="F22" s="27"/>
    </row>
    <row r="23" spans="1:6" ht="22.6" customHeight="1">
      <c r="A23" s="25"/>
      <c r="B23" s="26"/>
      <c r="C23" s="25"/>
      <c r="D23" s="25"/>
      <c r="E23" s="27"/>
      <c r="F23" s="27"/>
    </row>
    <row r="24" spans="1:6" ht="22.6" customHeight="1">
      <c r="A24" s="25"/>
      <c r="B24" s="26"/>
      <c r="C24" s="25"/>
      <c r="D24" s="25"/>
      <c r="E24" s="27"/>
      <c r="F24" s="27"/>
    </row>
    <row r="25" spans="1:6" ht="22.6" customHeight="1">
      <c r="A25" s="25"/>
      <c r="B25" s="26"/>
      <c r="C25" s="25"/>
      <c r="D25" s="25"/>
      <c r="E25" s="27"/>
      <c r="F25" s="27"/>
    </row>
    <row r="26" spans="1:6" ht="22.6" customHeight="1">
      <c r="A26" s="25"/>
      <c r="B26" s="26"/>
      <c r="C26" s="25"/>
      <c r="D26" s="25"/>
      <c r="E26" s="27"/>
      <c r="F26" s="27"/>
    </row>
    <row r="27" spans="1:6" ht="22.6" customHeight="1">
      <c r="A27" s="25"/>
      <c r="B27" s="26"/>
      <c r="C27" s="25"/>
      <c r="D27" s="25"/>
      <c r="E27" s="27"/>
      <c r="F27" s="27"/>
    </row>
    <row r="28" spans="1:6" ht="22.6" customHeight="1">
      <c r="A28" s="25"/>
      <c r="B28" s="26"/>
      <c r="C28" s="25"/>
      <c r="D28" s="25"/>
      <c r="E28" s="27"/>
      <c r="F28" s="27"/>
    </row>
    <row r="29" spans="1:6" ht="22.6" customHeight="1">
      <c r="A29" s="25"/>
      <c r="B29" s="26"/>
      <c r="C29" s="25"/>
      <c r="D29" s="25"/>
      <c r="E29" s="27"/>
      <c r="F29" s="27"/>
    </row>
    <row r="30" spans="1:6" ht="22.6" customHeight="1">
      <c r="A30" s="25"/>
      <c r="B30" s="26"/>
      <c r="C30" s="25"/>
      <c r="D30" s="25"/>
      <c r="E30" s="27"/>
      <c r="F30" s="27"/>
    </row>
    <row r="31" spans="1:6" ht="22.6" customHeight="1">
      <c r="A31" s="25"/>
      <c r="B31" s="26"/>
      <c r="C31" s="25"/>
      <c r="D31" s="25"/>
      <c r="E31" s="27"/>
      <c r="F31" s="27"/>
    </row>
    <row r="32" spans="1:6" ht="22.6" customHeight="1">
      <c r="A32" s="25"/>
      <c r="B32" s="26"/>
      <c r="C32" s="25"/>
      <c r="D32" s="25"/>
      <c r="E32" s="27"/>
      <c r="F32" s="27"/>
    </row>
    <row r="33" spans="1:6" ht="22.6" customHeight="1">
      <c r="A33" s="25"/>
      <c r="B33" s="26"/>
      <c r="C33" s="25"/>
      <c r="D33" s="25"/>
      <c r="E33" s="27"/>
      <c r="F33" s="27"/>
    </row>
    <row r="34" spans="1:6" ht="22.6" customHeight="1">
      <c r="A34" s="25"/>
      <c r="B34" s="26"/>
      <c r="C34" s="25"/>
      <c r="D34" s="25"/>
      <c r="E34" s="27"/>
      <c r="F34" s="27"/>
    </row>
    <row r="35" spans="1:6" ht="22.6" customHeight="1">
      <c r="A35" s="25"/>
      <c r="B35" s="26"/>
      <c r="C35" s="25"/>
      <c r="D35" s="25"/>
      <c r="E35" s="27"/>
      <c r="F35" s="27"/>
    </row>
    <row r="36" spans="1:6" ht="22.6" customHeight="1">
      <c r="A36" s="25"/>
      <c r="B36" s="26"/>
      <c r="C36" s="25"/>
      <c r="D36" s="25"/>
      <c r="E36" s="27"/>
      <c r="F36" s="27"/>
    </row>
    <row r="37" spans="1:6" ht="22.6" customHeight="1">
      <c r="A37" s="25"/>
      <c r="B37" s="26"/>
      <c r="C37" s="25"/>
      <c r="D37" s="25"/>
      <c r="E37" s="27"/>
      <c r="F37" s="27"/>
    </row>
    <row r="38" spans="1:6" ht="22.6" customHeight="1">
      <c r="A38" s="25"/>
      <c r="B38" s="26"/>
      <c r="C38" s="25"/>
      <c r="D38" s="25"/>
      <c r="E38" s="27"/>
      <c r="F38" s="27"/>
    </row>
    <row r="39" spans="1:6" ht="22.6" customHeight="1">
      <c r="A39" s="25"/>
      <c r="B39" s="26"/>
      <c r="C39" s="25"/>
      <c r="D39" s="25"/>
      <c r="E39" s="27"/>
      <c r="F39" s="27"/>
    </row>
    <row r="40" spans="1:6" ht="22.6" customHeight="1">
      <c r="A40" s="25"/>
      <c r="B40" s="26"/>
      <c r="C40" s="25"/>
      <c r="D40" s="25"/>
      <c r="E40" s="27"/>
      <c r="F40" s="27"/>
    </row>
    <row r="41" spans="1:6" ht="22.6" customHeight="1">
      <c r="A41" s="25"/>
      <c r="B41" s="26"/>
      <c r="C41" s="25"/>
      <c r="D41" s="25"/>
      <c r="E41" s="27"/>
      <c r="F41" s="27"/>
    </row>
    <row r="42" spans="1:6" ht="22.6" customHeight="1">
      <c r="A42" s="25"/>
      <c r="B42" s="26"/>
      <c r="C42" s="25"/>
      <c r="D42" s="25"/>
      <c r="E42" s="27"/>
      <c r="F42" s="27"/>
    </row>
    <row r="43" spans="1:6" ht="22.6" customHeight="1">
      <c r="A43" s="25"/>
      <c r="B43" s="26"/>
      <c r="C43" s="25"/>
      <c r="D43" s="25"/>
      <c r="E43" s="27"/>
      <c r="F43" s="27"/>
    </row>
    <row r="44" spans="1:6" ht="22.6" customHeight="1">
      <c r="A44" s="25"/>
      <c r="B44" s="26"/>
      <c r="C44" s="25"/>
      <c r="D44" s="25"/>
      <c r="E44" s="27"/>
      <c r="F44" s="27"/>
    </row>
    <row r="45" spans="1:6" ht="22.6" customHeight="1">
      <c r="A45" s="25"/>
      <c r="B45" s="26"/>
      <c r="C45" s="25"/>
      <c r="D45" s="25"/>
      <c r="E45" s="27"/>
      <c r="F45" s="27"/>
    </row>
    <row r="46" spans="1:6" ht="22.6" customHeight="1">
      <c r="A46" s="25"/>
      <c r="B46" s="26"/>
      <c r="C46" s="25"/>
      <c r="D46" s="25"/>
      <c r="E46" s="27"/>
      <c r="F46" s="27"/>
    </row>
    <row r="47" spans="1:6" ht="22.6" customHeight="1">
      <c r="A47" s="25"/>
      <c r="B47" s="26"/>
      <c r="C47" s="25"/>
      <c r="D47" s="25"/>
      <c r="E47" s="27"/>
      <c r="F47" s="27"/>
    </row>
    <row r="48" spans="1:6" ht="22.6" customHeight="1">
      <c r="A48" s="25"/>
      <c r="B48" s="26"/>
      <c r="C48" s="25"/>
      <c r="D48" s="25"/>
      <c r="E48" s="27"/>
      <c r="F48" s="27"/>
    </row>
    <row r="49" spans="1:6" ht="22.6" customHeight="1">
      <c r="A49" s="25"/>
      <c r="B49" s="26"/>
      <c r="C49" s="25"/>
      <c r="D49" s="25"/>
      <c r="E49" s="27"/>
      <c r="F49" s="27"/>
    </row>
    <row r="50" spans="1:6" ht="22.6" customHeight="1">
      <c r="A50" s="25"/>
      <c r="B50" s="26"/>
      <c r="C50" s="25"/>
      <c r="D50" s="25"/>
      <c r="E50" s="27"/>
      <c r="F50" s="27"/>
    </row>
    <row r="51" spans="1:6" ht="22.6" customHeight="1">
      <c r="A51" s="25"/>
      <c r="B51" s="26"/>
      <c r="C51" s="25"/>
      <c r="D51" s="25"/>
      <c r="E51" s="27"/>
      <c r="F51" s="27"/>
    </row>
    <row r="52" spans="1:6" ht="22.6" customHeight="1">
      <c r="A52" s="25"/>
      <c r="B52" s="26"/>
      <c r="C52" s="25"/>
      <c r="D52" s="25"/>
      <c r="E52" s="27"/>
      <c r="F52" s="27"/>
    </row>
    <row r="53" spans="1:6" ht="22.6" customHeight="1">
      <c r="A53" s="25"/>
      <c r="B53" s="26"/>
      <c r="C53" s="25"/>
      <c r="D53" s="25"/>
      <c r="E53" s="27"/>
      <c r="F53" s="27"/>
    </row>
    <row r="54" spans="1:6" ht="22.6" customHeight="1">
      <c r="A54" s="25"/>
      <c r="B54" s="26"/>
      <c r="C54" s="25"/>
      <c r="D54" s="25"/>
      <c r="E54" s="27"/>
      <c r="F54" s="27"/>
    </row>
    <row r="55" spans="1:6" ht="22.6" customHeight="1">
      <c r="A55" s="25"/>
      <c r="B55" s="26"/>
      <c r="C55" s="25"/>
      <c r="D55" s="25"/>
      <c r="E55" s="27"/>
      <c r="F55" s="27"/>
    </row>
    <row r="56" spans="1:6" ht="22.6" customHeight="1">
      <c r="A56" s="25"/>
      <c r="B56" s="26"/>
      <c r="C56" s="25"/>
      <c r="D56" s="25"/>
      <c r="E56" s="27"/>
      <c r="F56" s="27"/>
    </row>
    <row r="57" spans="1:6" ht="22.6" customHeight="1">
      <c r="A57" s="25"/>
      <c r="B57" s="26"/>
      <c r="C57" s="25"/>
      <c r="D57" s="25"/>
      <c r="E57" s="27"/>
      <c r="F57" s="27"/>
    </row>
    <row r="58" spans="1:6" ht="22.6" customHeight="1">
      <c r="A58" s="25"/>
      <c r="B58" s="26"/>
      <c r="C58" s="25"/>
      <c r="D58" s="25"/>
      <c r="E58" s="27"/>
      <c r="F58" s="27"/>
    </row>
    <row r="59" spans="1:6" ht="22.6" customHeight="1">
      <c r="A59" s="25"/>
      <c r="B59" s="26"/>
      <c r="C59" s="25"/>
      <c r="D59" s="25"/>
      <c r="E59" s="27"/>
      <c r="F59" s="27"/>
    </row>
    <row r="60" spans="1:6" ht="22.6" customHeight="1">
      <c r="A60" s="25"/>
      <c r="B60" s="26"/>
      <c r="C60" s="25"/>
      <c r="D60" s="25"/>
      <c r="E60" s="27"/>
      <c r="F60" s="27"/>
    </row>
    <row r="61" spans="1:6" ht="22.6" customHeight="1">
      <c r="A61" s="25"/>
      <c r="B61" s="26"/>
      <c r="C61" s="25"/>
      <c r="D61" s="25"/>
      <c r="E61" s="27"/>
      <c r="F61" s="27"/>
    </row>
    <row r="62" spans="1:6" ht="22.6" customHeight="1">
      <c r="A62" s="25"/>
      <c r="B62" s="26"/>
      <c r="C62" s="25"/>
      <c r="D62" s="25"/>
      <c r="E62" s="27"/>
      <c r="F62" s="27"/>
    </row>
    <row r="63" spans="1:6" ht="22.6" customHeight="1">
      <c r="A63" s="25"/>
      <c r="B63" s="26"/>
      <c r="C63" s="25"/>
      <c r="D63" s="25"/>
      <c r="E63" s="27"/>
      <c r="F63" s="27"/>
    </row>
    <row r="64" spans="1:6" ht="22.6" customHeight="1">
      <c r="A64" s="25"/>
      <c r="B64" s="26"/>
      <c r="C64" s="25"/>
      <c r="D64" s="25"/>
      <c r="E64" s="27"/>
      <c r="F64" s="27"/>
    </row>
    <row r="65" spans="1:6" ht="22.6" customHeight="1">
      <c r="A65" s="25"/>
      <c r="B65" s="26"/>
      <c r="C65" s="25"/>
      <c r="D65" s="25"/>
      <c r="E65" s="27"/>
      <c r="F65" s="27"/>
    </row>
    <row r="66" spans="1:6" ht="22.6" customHeight="1">
      <c r="A66" s="25"/>
      <c r="B66" s="26"/>
      <c r="C66" s="25"/>
      <c r="D66" s="25"/>
      <c r="E66" s="27"/>
      <c r="F66" s="27"/>
    </row>
    <row r="67" spans="1:6" ht="22.6" customHeight="1">
      <c r="A67" s="25"/>
      <c r="B67" s="26"/>
      <c r="C67" s="25"/>
      <c r="D67" s="25"/>
      <c r="E67" s="27"/>
      <c r="F67" s="27"/>
    </row>
    <row r="68" spans="1:6" ht="22.6" customHeight="1">
      <c r="A68" s="25"/>
      <c r="B68" s="26"/>
      <c r="C68" s="25"/>
      <c r="D68" s="25"/>
      <c r="E68" s="27"/>
      <c r="F68" s="27"/>
    </row>
    <row r="69" spans="1:6" ht="22.6" customHeight="1">
      <c r="A69" s="25"/>
      <c r="B69" s="26"/>
      <c r="C69" s="25"/>
      <c r="D69" s="25"/>
      <c r="E69" s="27"/>
      <c r="F69" s="27"/>
    </row>
    <row r="70" spans="1:6" ht="22.6" customHeight="1">
      <c r="A70" s="25"/>
      <c r="B70" s="26"/>
      <c r="C70" s="25"/>
      <c r="D70" s="25"/>
      <c r="E70" s="27"/>
      <c r="F70" s="27"/>
    </row>
    <row r="71" spans="1:6" ht="22.6" customHeight="1">
      <c r="A71" s="25"/>
      <c r="B71" s="26"/>
      <c r="C71" s="25"/>
      <c r="D71" s="25"/>
      <c r="E71" s="27"/>
      <c r="F71" s="27"/>
    </row>
    <row r="72" spans="1:6" ht="22.6" customHeight="1">
      <c r="A72" s="25"/>
      <c r="B72" s="26"/>
      <c r="C72" s="25"/>
      <c r="D72" s="25"/>
      <c r="E72" s="27"/>
      <c r="F72" s="27"/>
    </row>
    <row r="73" spans="1:6" ht="22.6" customHeight="1">
      <c r="A73" s="25"/>
      <c r="B73" s="26"/>
      <c r="C73" s="25"/>
      <c r="D73" s="25"/>
      <c r="E73" s="27"/>
      <c r="F73" s="27"/>
    </row>
    <row r="74" spans="1:6" ht="22.6" customHeight="1">
      <c r="A74" s="25"/>
      <c r="B74" s="26"/>
      <c r="C74" s="25"/>
      <c r="D74" s="25"/>
      <c r="E74" s="27"/>
      <c r="F74" s="27"/>
    </row>
    <row r="75" spans="1:6" ht="22.6" customHeight="1">
      <c r="A75" s="25"/>
      <c r="B75" s="26"/>
      <c r="C75" s="25"/>
      <c r="D75" s="25"/>
      <c r="E75" s="27"/>
      <c r="F75" s="27"/>
    </row>
    <row r="76" spans="1:6" ht="22.6" customHeight="1">
      <c r="A76" s="25"/>
      <c r="B76" s="26"/>
      <c r="C76" s="25"/>
      <c r="D76" s="25"/>
      <c r="E76" s="27"/>
      <c r="F76" s="27"/>
    </row>
    <row r="77" spans="1:6" ht="22.6" customHeight="1">
      <c r="A77" s="25"/>
      <c r="B77" s="26"/>
      <c r="C77" s="25"/>
      <c r="D77" s="25"/>
      <c r="E77" s="27"/>
      <c r="F77" s="27"/>
    </row>
    <row r="78" spans="1:6" ht="22.6" customHeight="1">
      <c r="A78" s="25"/>
      <c r="B78" s="26"/>
      <c r="C78" s="25"/>
      <c r="D78" s="25"/>
      <c r="E78" s="27"/>
      <c r="F78" s="27"/>
    </row>
    <row r="79" spans="1:6" ht="22.6" customHeight="1">
      <c r="A79" s="25"/>
      <c r="B79" s="26"/>
      <c r="C79" s="25"/>
      <c r="D79" s="25"/>
      <c r="E79" s="27"/>
      <c r="F79" s="27"/>
    </row>
    <row r="80" spans="1:6" ht="22.6" customHeight="1">
      <c r="A80" s="25"/>
      <c r="B80" s="26"/>
      <c r="C80" s="25"/>
      <c r="D80" s="25"/>
      <c r="E80" s="27"/>
      <c r="F80" s="27"/>
    </row>
    <row r="81" spans="1:6" ht="22.6" customHeight="1">
      <c r="A81" s="25"/>
      <c r="B81" s="26"/>
      <c r="C81" s="25"/>
      <c r="D81" s="25"/>
      <c r="E81" s="27"/>
      <c r="F81" s="27"/>
    </row>
    <row r="82" spans="1:6" ht="22.6" customHeight="1">
      <c r="A82" s="25"/>
      <c r="B82" s="26"/>
      <c r="C82" s="25"/>
      <c r="D82" s="25"/>
      <c r="E82" s="27"/>
      <c r="F82" s="27"/>
    </row>
    <row r="83" spans="1:6" ht="22.6" customHeight="1">
      <c r="A83" s="25"/>
      <c r="B83" s="26"/>
      <c r="C83" s="25"/>
      <c r="D83" s="25"/>
      <c r="E83" s="27"/>
      <c r="F83" s="27"/>
    </row>
    <row r="84" spans="1:6" ht="22.6" customHeight="1">
      <c r="A84" s="25"/>
      <c r="B84" s="26"/>
      <c r="C84" s="25"/>
      <c r="D84" s="25"/>
      <c r="E84" s="27"/>
      <c r="F84" s="27"/>
    </row>
    <row r="85" spans="1:6" ht="22.6" customHeight="1">
      <c r="A85" s="25"/>
      <c r="B85" s="26"/>
      <c r="C85" s="25"/>
      <c r="D85" s="25"/>
      <c r="E85" s="27"/>
      <c r="F85" s="27"/>
    </row>
    <row r="86" spans="1:6" ht="22.6" customHeight="1">
      <c r="A86" s="25"/>
      <c r="B86" s="26"/>
      <c r="C86" s="25"/>
      <c r="D86" s="25"/>
      <c r="E86" s="27"/>
      <c r="F86" s="27"/>
    </row>
    <row r="87" spans="1:6" ht="22.6" customHeight="1">
      <c r="A87" s="25"/>
      <c r="B87" s="26"/>
      <c r="C87" s="25"/>
      <c r="D87" s="25"/>
      <c r="E87" s="27"/>
      <c r="F87" s="27"/>
    </row>
    <row r="88" spans="1:6" ht="22.6" customHeight="1">
      <c r="A88" s="25"/>
      <c r="B88" s="26"/>
      <c r="C88" s="25"/>
      <c r="D88" s="25"/>
      <c r="E88" s="27"/>
      <c r="F88" s="27"/>
    </row>
    <row r="89" spans="1:6" ht="22.6" customHeight="1">
      <c r="A89" s="25"/>
      <c r="B89" s="26"/>
      <c r="C89" s="25"/>
      <c r="D89" s="25"/>
      <c r="E89" s="27"/>
      <c r="F89" s="27"/>
    </row>
    <row r="90" spans="1:6" ht="22.6" customHeight="1">
      <c r="A90" s="25"/>
      <c r="B90" s="26"/>
      <c r="C90" s="25"/>
      <c r="D90" s="25"/>
      <c r="E90" s="27"/>
      <c r="F90" s="27"/>
    </row>
    <row r="91" spans="1:6" ht="22.6" customHeight="1">
      <c r="A91" s="25"/>
      <c r="B91" s="26"/>
      <c r="C91" s="25"/>
      <c r="D91" s="25"/>
      <c r="E91" s="27"/>
      <c r="F91" s="27"/>
    </row>
    <row r="92" spans="1:6" ht="22.6" customHeight="1">
      <c r="A92" s="25"/>
      <c r="B92" s="26"/>
      <c r="C92" s="25"/>
      <c r="D92" s="25"/>
      <c r="E92" s="27"/>
      <c r="F92" s="27"/>
    </row>
    <row r="93" spans="1:6" ht="22.6" customHeight="1">
      <c r="A93" s="25"/>
      <c r="B93" s="26"/>
      <c r="C93" s="25"/>
      <c r="D93" s="25"/>
      <c r="E93" s="27"/>
      <c r="F93" s="27"/>
    </row>
    <row r="94" spans="1:6" ht="22.6" customHeight="1">
      <c r="A94" s="25"/>
      <c r="B94" s="26"/>
      <c r="C94" s="25"/>
      <c r="D94" s="25"/>
      <c r="E94" s="27"/>
      <c r="F94" s="27"/>
    </row>
    <row r="95" spans="1:6" ht="22.6" customHeight="1">
      <c r="A95" s="25"/>
      <c r="B95" s="26"/>
      <c r="C95" s="25"/>
      <c r="D95" s="25"/>
      <c r="E95" s="27"/>
      <c r="F95" s="27"/>
    </row>
    <row r="96" spans="1:6" ht="22.6" customHeight="1">
      <c r="A96" s="25"/>
      <c r="B96" s="26"/>
      <c r="C96" s="25"/>
      <c r="D96" s="25"/>
      <c r="E96" s="27"/>
      <c r="F96" s="27"/>
    </row>
    <row r="97" spans="1:6" ht="22.6" customHeight="1">
      <c r="A97" s="25"/>
      <c r="B97" s="26"/>
      <c r="C97" s="25"/>
      <c r="D97" s="25"/>
      <c r="E97" s="27"/>
      <c r="F97" s="27"/>
    </row>
    <row r="98" spans="1:6" ht="22.6" customHeight="1">
      <c r="A98" s="25"/>
      <c r="B98" s="26"/>
      <c r="C98" s="25"/>
      <c r="D98" s="25"/>
      <c r="E98" s="27"/>
      <c r="F98" s="27"/>
    </row>
    <row r="99" spans="1:6" ht="22.6" customHeight="1">
      <c r="A99" s="25"/>
      <c r="B99" s="26"/>
      <c r="C99" s="25"/>
      <c r="D99" s="25"/>
      <c r="E99" s="27"/>
      <c r="F99" s="27"/>
    </row>
    <row r="100" spans="1:6" ht="22.6" customHeight="1">
      <c r="A100" s="25"/>
      <c r="B100" s="26"/>
      <c r="C100" s="25"/>
      <c r="D100" s="25"/>
      <c r="E100" s="27"/>
      <c r="F100" s="27"/>
    </row>
    <row r="101" spans="1:6" ht="22.6" customHeight="1">
      <c r="A101" s="25"/>
      <c r="B101" s="26"/>
      <c r="C101" s="25"/>
      <c r="D101" s="25"/>
      <c r="E101" s="27"/>
      <c r="F101" s="27"/>
    </row>
    <row r="102" spans="1:6" ht="22.6" customHeight="1">
      <c r="A102" s="25"/>
      <c r="B102" s="26"/>
      <c r="C102" s="25"/>
      <c r="D102" s="25"/>
      <c r="E102" s="27"/>
      <c r="F102" s="27"/>
    </row>
    <row r="103" spans="1:6" ht="22.6" customHeight="1">
      <c r="A103" s="25"/>
      <c r="B103" s="26"/>
      <c r="C103" s="25"/>
      <c r="D103" s="25"/>
      <c r="E103" s="27"/>
      <c r="F103" s="27"/>
    </row>
    <row r="104" spans="1:6" ht="22.6" customHeight="1">
      <c r="A104" s="25"/>
      <c r="B104" s="26"/>
      <c r="C104" s="25"/>
      <c r="D104" s="25"/>
      <c r="E104" s="27"/>
      <c r="F104" s="27"/>
    </row>
    <row r="105" spans="1:6" ht="22.6" customHeight="1">
      <c r="A105" s="25"/>
      <c r="B105" s="26"/>
      <c r="C105" s="25"/>
      <c r="D105" s="25"/>
      <c r="E105" s="27"/>
      <c r="F105" s="27"/>
    </row>
    <row r="106" spans="1:6" ht="22.6" customHeight="1">
      <c r="A106" s="25"/>
      <c r="B106" s="26"/>
      <c r="C106" s="25"/>
      <c r="D106" s="25"/>
      <c r="E106" s="27"/>
      <c r="F106" s="27"/>
    </row>
    <row r="107" spans="1:6" ht="22.6" customHeight="1">
      <c r="A107" s="25"/>
      <c r="B107" s="26"/>
      <c r="C107" s="25"/>
      <c r="D107" s="25"/>
      <c r="E107" s="27"/>
      <c r="F107" s="27"/>
    </row>
    <row r="108" spans="1:6" ht="22.6" customHeight="1">
      <c r="A108" s="25"/>
      <c r="B108" s="26"/>
      <c r="C108" s="25"/>
      <c r="D108" s="25"/>
      <c r="E108" s="27"/>
      <c r="F108" s="27"/>
    </row>
    <row r="109" spans="1:6" ht="22.6" customHeight="1">
      <c r="A109" s="25"/>
      <c r="B109" s="26"/>
      <c r="C109" s="25"/>
      <c r="D109" s="25"/>
      <c r="E109" s="27"/>
      <c r="F109" s="27"/>
    </row>
    <row r="110" spans="1:6" ht="22.6" customHeight="1">
      <c r="A110" s="25"/>
      <c r="B110" s="26"/>
      <c r="C110" s="25"/>
      <c r="D110" s="25"/>
      <c r="E110" s="27"/>
      <c r="F110" s="27"/>
    </row>
    <row r="111" spans="1:6" ht="22.6" customHeight="1">
      <c r="A111" s="25"/>
      <c r="B111" s="26"/>
      <c r="C111" s="25"/>
      <c r="D111" s="25"/>
      <c r="E111" s="27"/>
      <c r="F111" s="27"/>
    </row>
    <row r="112" spans="1:6" ht="22.6" customHeight="1">
      <c r="A112" s="25"/>
      <c r="B112" s="26"/>
      <c r="C112" s="25"/>
      <c r="D112" s="25"/>
      <c r="E112" s="27"/>
      <c r="F112" s="27"/>
    </row>
    <row r="113" spans="1:6" ht="22.6" customHeight="1">
      <c r="A113" s="25"/>
      <c r="B113" s="26"/>
      <c r="C113" s="25"/>
      <c r="D113" s="25"/>
      <c r="E113" s="27"/>
      <c r="F113" s="27"/>
    </row>
    <row r="114" spans="1:6" ht="22.6" customHeight="1">
      <c r="A114" s="25"/>
      <c r="B114" s="26"/>
      <c r="C114" s="25"/>
      <c r="D114" s="25"/>
      <c r="E114" s="27"/>
      <c r="F114" s="27"/>
    </row>
    <row r="115" spans="1:6" ht="22.6" customHeight="1">
      <c r="A115" s="25"/>
      <c r="B115" s="26"/>
      <c r="C115" s="25"/>
      <c r="D115" s="25"/>
      <c r="E115" s="27"/>
      <c r="F115" s="27"/>
    </row>
    <row r="116" spans="1:6" ht="22.6" customHeight="1">
      <c r="A116" s="25"/>
      <c r="B116" s="26"/>
      <c r="C116" s="25"/>
      <c r="D116" s="25"/>
      <c r="E116" s="27"/>
      <c r="F116" s="27"/>
    </row>
    <row r="117" spans="1:6" ht="22.6" customHeight="1">
      <c r="A117" s="25"/>
      <c r="B117" s="26"/>
      <c r="C117" s="25"/>
      <c r="D117" s="25"/>
      <c r="E117" s="27"/>
      <c r="F117" s="27"/>
    </row>
    <row r="118" spans="1:6" ht="22.6" customHeight="1">
      <c r="A118" s="25"/>
      <c r="B118" s="26"/>
      <c r="C118" s="25"/>
      <c r="D118" s="25"/>
      <c r="E118" s="27"/>
      <c r="F118" s="27"/>
    </row>
    <row r="119" spans="1:6" ht="22.6" customHeight="1">
      <c r="A119" s="25"/>
      <c r="B119" s="26"/>
      <c r="C119" s="25"/>
      <c r="D119" s="25"/>
      <c r="E119" s="27"/>
      <c r="F119" s="27"/>
    </row>
    <row r="120" spans="1:6" ht="22.6" customHeight="1">
      <c r="A120" s="25"/>
      <c r="B120" s="26"/>
      <c r="C120" s="25"/>
      <c r="D120" s="25"/>
      <c r="E120" s="27"/>
      <c r="F120" s="27"/>
    </row>
    <row r="121" spans="1:6" ht="22.6" customHeight="1">
      <c r="A121" s="25"/>
      <c r="B121" s="26"/>
      <c r="C121" s="25"/>
      <c r="D121" s="25"/>
      <c r="E121" s="27"/>
      <c r="F121" s="27"/>
    </row>
    <row r="122" spans="1:6" ht="22.6" customHeight="1">
      <c r="A122" s="25"/>
      <c r="B122" s="26"/>
      <c r="C122" s="25"/>
      <c r="D122" s="25"/>
      <c r="E122" s="27"/>
      <c r="F122" s="27"/>
    </row>
    <row r="123" spans="1:6" ht="22.6" customHeight="1">
      <c r="A123" s="25"/>
      <c r="B123" s="26"/>
      <c r="C123" s="25"/>
      <c r="D123" s="25"/>
      <c r="E123" s="27"/>
      <c r="F123" s="27"/>
    </row>
    <row r="124" spans="1:6" ht="22.6" customHeight="1">
      <c r="A124" s="25"/>
      <c r="B124" s="26"/>
      <c r="C124" s="25"/>
      <c r="D124" s="25"/>
      <c r="E124" s="27"/>
      <c r="F124" s="27"/>
    </row>
    <row r="125" spans="1:6" ht="22.6" customHeight="1">
      <c r="A125" s="25"/>
      <c r="B125" s="26"/>
      <c r="C125" s="25"/>
      <c r="D125" s="25"/>
      <c r="E125" s="27"/>
      <c r="F125" s="27"/>
    </row>
    <row r="126" spans="1:6" ht="22.6" customHeight="1">
      <c r="A126" s="25"/>
      <c r="B126" s="26"/>
      <c r="C126" s="25"/>
      <c r="D126" s="25"/>
      <c r="E126" s="27"/>
      <c r="F126" s="27"/>
    </row>
    <row r="127" spans="1:6" ht="22.6" customHeight="1">
      <c r="A127" s="25"/>
      <c r="B127" s="26"/>
      <c r="C127" s="25"/>
      <c r="D127" s="25"/>
      <c r="E127" s="27"/>
      <c r="F127" s="27"/>
    </row>
    <row r="128" spans="1:6" ht="22.6" customHeight="1">
      <c r="A128" s="25"/>
      <c r="B128" s="26"/>
      <c r="C128" s="25"/>
      <c r="D128" s="25"/>
      <c r="E128" s="27"/>
      <c r="F128" s="27"/>
    </row>
    <row r="129" spans="1:6" ht="22.6" customHeight="1">
      <c r="A129" s="25"/>
      <c r="B129" s="26"/>
      <c r="C129" s="25"/>
      <c r="D129" s="25"/>
      <c r="E129" s="27"/>
      <c r="F129" s="27"/>
    </row>
    <row r="130" spans="1:6" ht="22.6" customHeight="1">
      <c r="A130" s="25"/>
      <c r="B130" s="26"/>
      <c r="C130" s="25"/>
      <c r="D130" s="25"/>
      <c r="E130" s="27"/>
      <c r="F130" s="27"/>
    </row>
    <row r="131" spans="1:6" ht="22.6" customHeight="1">
      <c r="A131" s="25"/>
      <c r="B131" s="26"/>
      <c r="C131" s="25"/>
      <c r="D131" s="25"/>
      <c r="E131" s="27"/>
      <c r="F131" s="27"/>
    </row>
    <row r="132" spans="1:6" ht="22.6" customHeight="1">
      <c r="A132" s="25"/>
      <c r="B132" s="26"/>
      <c r="C132" s="25"/>
      <c r="D132" s="25"/>
      <c r="E132" s="27"/>
      <c r="F132" s="27"/>
    </row>
    <row r="133" spans="1:6" ht="22.6" customHeight="1">
      <c r="A133" s="25"/>
      <c r="B133" s="26"/>
      <c r="C133" s="25"/>
      <c r="D133" s="25"/>
      <c r="E133" s="27"/>
      <c r="F133" s="27"/>
    </row>
    <row r="134" spans="1:6" ht="22.6" customHeight="1">
      <c r="A134" s="25"/>
      <c r="B134" s="26"/>
      <c r="C134" s="25"/>
      <c r="D134" s="25"/>
      <c r="E134" s="27"/>
      <c r="F134" s="27"/>
    </row>
    <row r="135" spans="1:6" ht="22.6" customHeight="1">
      <c r="A135" s="25"/>
      <c r="B135" s="26"/>
      <c r="C135" s="25"/>
      <c r="D135" s="25"/>
      <c r="E135" s="27"/>
      <c r="F135" s="27"/>
    </row>
    <row r="136" spans="1:6" ht="22.6" customHeight="1">
      <c r="A136" s="25"/>
      <c r="B136" s="26"/>
      <c r="C136" s="25"/>
      <c r="D136" s="25"/>
      <c r="E136" s="27"/>
      <c r="F136" s="27"/>
    </row>
    <row r="137" spans="1:6" ht="22.6" customHeight="1">
      <c r="A137" s="25"/>
      <c r="B137" s="26"/>
      <c r="C137" s="25"/>
      <c r="D137" s="25"/>
      <c r="E137" s="27"/>
      <c r="F137" s="27"/>
    </row>
    <row r="138" spans="1:6" ht="22.6" customHeight="1">
      <c r="A138" s="25"/>
      <c r="B138" s="26"/>
      <c r="C138" s="25"/>
      <c r="D138" s="25"/>
      <c r="E138" s="27"/>
      <c r="F138" s="27"/>
    </row>
    <row r="139" spans="1:6" ht="22.6" customHeight="1">
      <c r="A139" s="25"/>
      <c r="B139" s="26"/>
      <c r="C139" s="25"/>
      <c r="D139" s="25"/>
      <c r="E139" s="27"/>
      <c r="F139" s="27"/>
    </row>
    <row r="140" spans="1:6" ht="22.6" customHeight="1">
      <c r="A140" s="25"/>
      <c r="B140" s="26"/>
      <c r="C140" s="25"/>
      <c r="D140" s="25"/>
      <c r="E140" s="27"/>
      <c r="F140" s="27"/>
    </row>
    <row r="141" spans="1:6" ht="22.6" customHeight="1">
      <c r="A141" s="25"/>
      <c r="B141" s="26"/>
      <c r="C141" s="25"/>
      <c r="D141" s="25"/>
      <c r="E141" s="27"/>
      <c r="F141" s="27"/>
    </row>
    <row r="142" spans="1:6" ht="22.6" customHeight="1">
      <c r="A142" s="25"/>
      <c r="B142" s="26"/>
      <c r="C142" s="25"/>
      <c r="D142" s="25"/>
      <c r="E142" s="27"/>
      <c r="F142" s="27"/>
    </row>
    <row r="143" spans="1:6" ht="22.6" customHeight="1">
      <c r="A143" s="25"/>
      <c r="B143" s="26"/>
      <c r="C143" s="25"/>
      <c r="D143" s="25"/>
      <c r="E143" s="27"/>
      <c r="F143" s="27"/>
    </row>
    <row r="144" spans="1:6" ht="22.6" customHeight="1">
      <c r="A144" s="25"/>
      <c r="B144" s="26"/>
      <c r="C144" s="25"/>
      <c r="D144" s="25"/>
      <c r="E144" s="27"/>
      <c r="F144" s="27"/>
    </row>
    <row r="145" spans="1:6" ht="22.6" customHeight="1">
      <c r="A145" s="25"/>
      <c r="B145" s="26"/>
      <c r="C145" s="25"/>
      <c r="D145" s="25"/>
      <c r="E145" s="27"/>
      <c r="F145" s="27"/>
    </row>
    <row r="146" spans="1:6" ht="22.6" customHeight="1">
      <c r="A146" s="25"/>
      <c r="B146" s="26"/>
      <c r="C146" s="25"/>
      <c r="D146" s="25"/>
      <c r="E146" s="27"/>
      <c r="F146" s="27"/>
    </row>
    <row r="147" spans="1:6" ht="22.6" customHeight="1">
      <c r="A147" s="25"/>
      <c r="B147" s="26"/>
      <c r="C147" s="25"/>
      <c r="D147" s="25"/>
      <c r="E147" s="27"/>
      <c r="F147" s="27"/>
    </row>
    <row r="148" spans="1:6" ht="22.6" customHeight="1">
      <c r="A148" s="25"/>
      <c r="B148" s="26"/>
      <c r="C148" s="25"/>
      <c r="D148" s="25"/>
      <c r="E148" s="27"/>
      <c r="F148" s="27"/>
    </row>
    <row r="149" spans="1:6" ht="22.6" customHeight="1">
      <c r="A149" s="25"/>
      <c r="B149" s="26"/>
      <c r="C149" s="25"/>
      <c r="D149" s="25"/>
      <c r="E149" s="27"/>
      <c r="F149" s="27"/>
    </row>
    <row r="150" spans="1:6" ht="22.6" customHeight="1">
      <c r="A150" s="25"/>
      <c r="B150" s="26"/>
      <c r="C150" s="25"/>
      <c r="D150" s="25"/>
      <c r="E150" s="27"/>
      <c r="F150" s="27"/>
    </row>
    <row r="151" spans="1:6" ht="22.6" customHeight="1">
      <c r="A151" s="25"/>
      <c r="B151" s="26"/>
      <c r="C151" s="25"/>
      <c r="D151" s="25"/>
      <c r="E151" s="27"/>
      <c r="F151" s="27"/>
    </row>
    <row r="152" spans="1:6" ht="22.6" customHeight="1">
      <c r="A152" s="25"/>
      <c r="B152" s="26"/>
      <c r="C152" s="25"/>
      <c r="D152" s="25"/>
      <c r="E152" s="27"/>
      <c r="F152" s="27"/>
    </row>
    <row r="153" spans="1:6" ht="22.6" customHeight="1">
      <c r="A153" s="25"/>
      <c r="B153" s="26"/>
      <c r="C153" s="25"/>
      <c r="D153" s="25"/>
      <c r="E153" s="27"/>
      <c r="F153" s="27"/>
    </row>
    <row r="154" spans="1:6" ht="22.6" customHeight="1">
      <c r="A154" s="25"/>
      <c r="B154" s="26"/>
      <c r="C154" s="25"/>
      <c r="D154" s="25"/>
      <c r="E154" s="27"/>
      <c r="F154" s="27"/>
    </row>
    <row r="155" spans="1:6" ht="22.6" customHeight="1">
      <c r="A155" s="25"/>
      <c r="B155" s="26"/>
      <c r="C155" s="25"/>
      <c r="D155" s="25"/>
      <c r="E155" s="27"/>
      <c r="F155" s="27"/>
    </row>
    <row r="156" spans="1:6" ht="22.6" customHeight="1">
      <c r="A156" s="25"/>
      <c r="B156" s="26"/>
      <c r="C156" s="25"/>
      <c r="D156" s="25"/>
      <c r="E156" s="27"/>
      <c r="F156" s="27"/>
    </row>
    <row r="157" spans="1:6" ht="22.6" customHeight="1">
      <c r="A157" s="25"/>
      <c r="B157" s="26"/>
      <c r="C157" s="25"/>
      <c r="D157" s="25"/>
      <c r="E157" s="27"/>
      <c r="F157" s="27"/>
    </row>
    <row r="158" spans="1:6" ht="22.6" customHeight="1">
      <c r="A158" s="25"/>
      <c r="B158" s="26"/>
      <c r="C158" s="25"/>
      <c r="D158" s="25"/>
      <c r="E158" s="27"/>
      <c r="F158" s="27"/>
    </row>
    <row r="159" spans="1:6" ht="22.6" customHeight="1">
      <c r="A159" s="25"/>
      <c r="B159" s="26"/>
      <c r="C159" s="25"/>
      <c r="D159" s="25"/>
      <c r="E159" s="27"/>
      <c r="F159" s="27"/>
    </row>
    <row r="160" spans="1:6" ht="22.6" customHeight="1">
      <c r="A160" s="25"/>
      <c r="B160" s="26"/>
      <c r="C160" s="25"/>
      <c r="D160" s="25"/>
      <c r="E160" s="27"/>
      <c r="F160" s="27"/>
    </row>
    <row r="161" spans="1:6" ht="22.6" customHeight="1">
      <c r="A161" s="25"/>
      <c r="B161" s="26"/>
      <c r="C161" s="25"/>
      <c r="D161" s="25"/>
      <c r="E161" s="27"/>
      <c r="F161" s="27"/>
    </row>
    <row r="162" spans="1:6" ht="22.6" customHeight="1">
      <c r="A162" s="25"/>
      <c r="B162" s="26"/>
      <c r="C162" s="25"/>
      <c r="D162" s="25"/>
      <c r="E162" s="27"/>
      <c r="F162" s="27"/>
    </row>
    <row r="163" spans="1:6" ht="22.6" customHeight="1">
      <c r="A163" s="25"/>
      <c r="B163" s="26"/>
      <c r="C163" s="25"/>
      <c r="D163" s="25"/>
      <c r="E163" s="27"/>
      <c r="F163" s="27"/>
    </row>
    <row r="164" spans="1:6" ht="22.6" customHeight="1">
      <c r="A164" s="25"/>
      <c r="B164" s="26"/>
      <c r="C164" s="25"/>
      <c r="D164" s="25"/>
      <c r="E164" s="27"/>
      <c r="F164" s="27"/>
    </row>
    <row r="165" spans="1:6" ht="22.6" customHeight="1">
      <c r="A165" s="25"/>
      <c r="B165" s="26"/>
      <c r="C165" s="25"/>
      <c r="D165" s="25"/>
      <c r="E165" s="27"/>
      <c r="F165" s="27"/>
    </row>
    <row r="166" spans="1:6" ht="22.6" customHeight="1">
      <c r="A166" s="25"/>
      <c r="B166" s="26"/>
      <c r="C166" s="25"/>
      <c r="D166" s="25"/>
      <c r="E166" s="27"/>
      <c r="F166" s="27"/>
    </row>
    <row r="167" spans="1:6" ht="22.6" customHeight="1">
      <c r="A167" s="25"/>
      <c r="B167" s="26"/>
      <c r="C167" s="25"/>
      <c r="D167" s="25"/>
      <c r="E167" s="27"/>
      <c r="F167" s="27"/>
    </row>
    <row r="168" spans="1:6" ht="22.6" customHeight="1">
      <c r="A168" s="25"/>
      <c r="B168" s="26"/>
      <c r="C168" s="25"/>
      <c r="D168" s="25"/>
      <c r="E168" s="27"/>
      <c r="F168" s="27"/>
    </row>
    <row r="169" spans="1:6" ht="22.6" customHeight="1">
      <c r="A169" s="25"/>
      <c r="B169" s="26"/>
      <c r="C169" s="25"/>
      <c r="D169" s="25"/>
      <c r="E169" s="27"/>
      <c r="F169" s="27"/>
    </row>
    <row r="170" spans="1:6" ht="22.6" customHeight="1">
      <c r="A170" s="25"/>
      <c r="B170" s="26"/>
      <c r="C170" s="25"/>
      <c r="D170" s="25"/>
      <c r="E170" s="27"/>
      <c r="F170" s="27"/>
    </row>
    <row r="171" spans="1:6" ht="22.6" customHeight="1">
      <c r="A171" s="25"/>
      <c r="B171" s="26"/>
      <c r="C171" s="25"/>
      <c r="D171" s="25"/>
      <c r="E171" s="27"/>
      <c r="F171" s="27"/>
    </row>
    <row r="172" spans="1:6" ht="22.6" customHeight="1">
      <c r="A172" s="25"/>
      <c r="B172" s="26"/>
      <c r="C172" s="25"/>
      <c r="D172" s="25"/>
      <c r="E172" s="27"/>
      <c r="F172" s="27"/>
    </row>
    <row r="173" spans="1:6" ht="22.6" customHeight="1">
      <c r="A173" s="25"/>
      <c r="B173" s="26"/>
      <c r="C173" s="25"/>
      <c r="D173" s="25"/>
      <c r="E173" s="27"/>
      <c r="F173" s="27"/>
    </row>
    <row r="174" spans="1:6" ht="22.6" customHeight="1">
      <c r="A174" s="25"/>
      <c r="B174" s="26"/>
      <c r="C174" s="25"/>
      <c r="D174" s="25"/>
      <c r="E174" s="27"/>
      <c r="F174" s="27"/>
    </row>
    <row r="175" spans="1:6" ht="22.6" customHeight="1">
      <c r="A175" s="25"/>
      <c r="B175" s="26"/>
      <c r="C175" s="25"/>
      <c r="D175" s="25"/>
      <c r="E175" s="27"/>
      <c r="F175" s="27"/>
    </row>
    <row r="176" spans="1:6" ht="22.6" customHeight="1">
      <c r="A176" s="25"/>
      <c r="B176" s="26"/>
      <c r="C176" s="25"/>
      <c r="D176" s="25"/>
      <c r="E176" s="27"/>
      <c r="F176" s="27"/>
    </row>
    <row r="177" spans="1:6" ht="22.6" customHeight="1">
      <c r="A177" s="25"/>
      <c r="B177" s="26"/>
      <c r="C177" s="25"/>
      <c r="D177" s="25"/>
      <c r="E177" s="27"/>
      <c r="F177" s="27"/>
    </row>
    <row r="178" spans="1:6" ht="22.6" customHeight="1">
      <c r="A178" s="25"/>
      <c r="B178" s="26"/>
      <c r="C178" s="25"/>
      <c r="D178" s="25"/>
      <c r="E178" s="27"/>
      <c r="F178" s="27"/>
    </row>
    <row r="179" spans="1:6" ht="22.6" customHeight="1">
      <c r="A179" s="25"/>
      <c r="B179" s="26"/>
      <c r="C179" s="25"/>
      <c r="D179" s="25"/>
      <c r="E179" s="27"/>
      <c r="F179" s="27"/>
    </row>
    <row r="180" spans="1:6" ht="22.6" customHeight="1">
      <c r="A180" s="25"/>
      <c r="B180" s="26"/>
      <c r="C180" s="25"/>
      <c r="D180" s="25"/>
      <c r="E180" s="27"/>
      <c r="F180" s="27"/>
    </row>
    <row r="181" spans="1:6" ht="22.6" customHeight="1">
      <c r="A181" s="25"/>
      <c r="B181" s="26"/>
      <c r="C181" s="25"/>
      <c r="D181" s="25"/>
      <c r="E181" s="27"/>
      <c r="F181" s="27"/>
    </row>
    <row r="182" spans="1:6" ht="22.6" customHeight="1">
      <c r="A182" s="25"/>
      <c r="B182" s="26"/>
      <c r="C182" s="25"/>
      <c r="D182" s="25"/>
      <c r="E182" s="27"/>
      <c r="F182" s="27"/>
    </row>
    <row r="183" spans="1:6" ht="22.6" customHeight="1">
      <c r="A183" s="25"/>
      <c r="B183" s="26"/>
      <c r="C183" s="25"/>
      <c r="D183" s="25"/>
      <c r="E183" s="27"/>
      <c r="F183" s="27"/>
    </row>
    <row r="184" spans="1:6" ht="22.6" customHeight="1">
      <c r="A184" s="25"/>
      <c r="B184" s="26"/>
      <c r="C184" s="25"/>
      <c r="D184" s="25"/>
      <c r="E184" s="27"/>
      <c r="F184" s="27"/>
    </row>
    <row r="185" spans="1:6" ht="22.6" customHeight="1">
      <c r="A185" s="25"/>
      <c r="B185" s="26"/>
      <c r="C185" s="25"/>
      <c r="D185" s="25"/>
      <c r="E185" s="27"/>
      <c r="F185" s="27"/>
    </row>
    <row r="186" spans="1:6" ht="22.6" customHeight="1">
      <c r="A186" s="25"/>
      <c r="B186" s="26"/>
      <c r="C186" s="25"/>
      <c r="D186" s="25"/>
      <c r="E186" s="27"/>
      <c r="F186" s="27"/>
    </row>
    <row r="187" spans="1:6" ht="22.6" customHeight="1">
      <c r="A187" s="25"/>
      <c r="B187" s="26"/>
      <c r="C187" s="25"/>
      <c r="D187" s="25"/>
      <c r="E187" s="27"/>
      <c r="F187" s="27"/>
    </row>
    <row r="188" spans="1:6" ht="22.6" customHeight="1">
      <c r="A188" s="25"/>
      <c r="B188" s="26"/>
      <c r="C188" s="25"/>
      <c r="D188" s="25"/>
      <c r="E188" s="27"/>
      <c r="F188" s="27"/>
    </row>
    <row r="189" spans="1:6" ht="22.6" customHeight="1">
      <c r="A189" s="25"/>
      <c r="B189" s="26"/>
      <c r="C189" s="25"/>
      <c r="D189" s="25"/>
      <c r="E189" s="27"/>
      <c r="F189" s="27"/>
    </row>
    <row r="190" spans="1:6" ht="22.6" customHeight="1">
      <c r="A190" s="25"/>
      <c r="B190" s="26"/>
      <c r="C190" s="25"/>
      <c r="D190" s="25"/>
      <c r="E190" s="27"/>
      <c r="F190" s="27"/>
    </row>
    <row r="191" spans="1:6" ht="22.6" customHeight="1">
      <c r="A191" s="25"/>
      <c r="B191" s="26"/>
      <c r="C191" s="25"/>
      <c r="D191" s="25"/>
      <c r="E191" s="27"/>
      <c r="F191" s="27"/>
    </row>
    <row r="192" spans="1:6" ht="22.6" customHeight="1">
      <c r="A192" s="25"/>
      <c r="B192" s="26"/>
      <c r="C192" s="25"/>
      <c r="D192" s="25"/>
      <c r="E192" s="27"/>
      <c r="F192" s="27"/>
    </row>
    <row r="193" spans="1:6" ht="22.6" customHeight="1">
      <c r="A193" s="25"/>
      <c r="B193" s="26"/>
      <c r="C193" s="25"/>
      <c r="D193" s="25"/>
      <c r="E193" s="27"/>
      <c r="F193" s="27"/>
    </row>
    <row r="194" spans="1:6" ht="22.6" customHeight="1">
      <c r="A194" s="25"/>
      <c r="B194" s="26"/>
      <c r="C194" s="25"/>
      <c r="D194" s="25"/>
      <c r="E194" s="27"/>
      <c r="F194" s="27"/>
    </row>
    <row r="195" spans="1:6" ht="22.6" customHeight="1">
      <c r="A195" s="25"/>
      <c r="B195" s="26"/>
      <c r="C195" s="25"/>
      <c r="D195" s="25"/>
      <c r="E195" s="27"/>
      <c r="F195" s="27"/>
    </row>
    <row r="196" spans="1:6" ht="22.6" customHeight="1">
      <c r="A196" s="25"/>
      <c r="B196" s="26"/>
      <c r="C196" s="25"/>
      <c r="D196" s="25"/>
      <c r="E196" s="27"/>
      <c r="F196" s="27"/>
    </row>
    <row r="197" spans="1:6" ht="22.6" customHeight="1">
      <c r="A197" s="25"/>
      <c r="B197" s="26"/>
      <c r="C197" s="25"/>
      <c r="D197" s="25"/>
      <c r="E197" s="27"/>
      <c r="F197" s="27"/>
    </row>
    <row r="198" spans="1:6" ht="22.6" customHeight="1">
      <c r="A198" s="25"/>
      <c r="B198" s="26"/>
      <c r="C198" s="25"/>
      <c r="D198" s="25"/>
      <c r="E198" s="27"/>
      <c r="F198" s="27"/>
    </row>
    <row r="199" spans="1:6" ht="22.6" customHeight="1">
      <c r="A199" s="25"/>
      <c r="B199" s="26"/>
      <c r="C199" s="25"/>
      <c r="D199" s="25"/>
      <c r="E199" s="27"/>
      <c r="F199" s="27"/>
    </row>
    <row r="200" spans="1:6" ht="22.6" customHeight="1">
      <c r="A200" s="25"/>
      <c r="B200" s="26"/>
      <c r="C200" s="25"/>
      <c r="D200" s="25"/>
      <c r="E200" s="27"/>
      <c r="F200" s="27"/>
    </row>
    <row r="201" spans="1:6" ht="22.6" customHeight="1">
      <c r="A201" s="25"/>
      <c r="B201" s="26"/>
      <c r="C201" s="25"/>
      <c r="D201" s="25"/>
      <c r="E201" s="27"/>
      <c r="F201" s="27"/>
    </row>
    <row r="202" spans="1:6" ht="22.6" customHeight="1">
      <c r="A202" s="25"/>
      <c r="B202" s="26"/>
      <c r="C202" s="25"/>
      <c r="D202" s="25"/>
      <c r="E202" s="27"/>
      <c r="F202" s="27"/>
    </row>
    <row r="203" spans="1:6" ht="22.6" customHeight="1">
      <c r="A203" s="25"/>
      <c r="B203" s="26"/>
      <c r="C203" s="25"/>
      <c r="D203" s="25"/>
      <c r="E203" s="27"/>
      <c r="F203" s="27"/>
    </row>
    <row r="204" spans="1:6" ht="22.6" customHeight="1">
      <c r="A204" s="25"/>
      <c r="B204" s="26"/>
      <c r="C204" s="25"/>
      <c r="D204" s="25"/>
      <c r="E204" s="27"/>
      <c r="F204" s="27"/>
    </row>
    <row r="205" spans="1:6" ht="22.6" customHeight="1">
      <c r="A205" s="25"/>
      <c r="B205" s="26"/>
      <c r="C205" s="25"/>
      <c r="D205" s="25"/>
      <c r="E205" s="27"/>
      <c r="F205" s="27"/>
    </row>
    <row r="206" spans="1:6" ht="22.6" customHeight="1">
      <c r="A206" s="25"/>
      <c r="B206" s="26"/>
      <c r="C206" s="25"/>
      <c r="D206" s="25"/>
      <c r="E206" s="27"/>
      <c r="F206" s="27"/>
    </row>
    <row r="207" spans="1:6" ht="22.6" customHeight="1">
      <c r="A207" s="25"/>
      <c r="B207" s="26"/>
      <c r="C207" s="25"/>
      <c r="D207" s="25"/>
      <c r="E207" s="27"/>
      <c r="F207" s="27"/>
    </row>
    <row r="208" spans="1:6" ht="22.6" customHeight="1">
      <c r="A208" s="25"/>
      <c r="B208" s="26"/>
      <c r="C208" s="25"/>
      <c r="D208" s="25"/>
      <c r="E208" s="27"/>
      <c r="F208" s="27"/>
    </row>
    <row r="209" spans="1:6" ht="22.6" customHeight="1">
      <c r="A209" s="25"/>
      <c r="B209" s="26"/>
      <c r="C209" s="25"/>
      <c r="D209" s="25"/>
      <c r="E209" s="27"/>
      <c r="F209" s="27"/>
    </row>
    <row r="210" spans="1:6" ht="22.6" customHeight="1">
      <c r="A210" s="25"/>
      <c r="B210" s="26"/>
      <c r="C210" s="25"/>
      <c r="D210" s="25"/>
      <c r="E210" s="27"/>
      <c r="F210" s="27"/>
    </row>
    <row r="211" spans="1:6" ht="22.6" customHeight="1">
      <c r="A211" s="25"/>
      <c r="B211" s="26"/>
      <c r="C211" s="25"/>
      <c r="D211" s="25"/>
      <c r="E211" s="27"/>
      <c r="F211" s="27"/>
    </row>
    <row r="212" spans="1:6" ht="22.6" customHeight="1">
      <c r="A212" s="25"/>
      <c r="B212" s="26"/>
      <c r="C212" s="25"/>
      <c r="D212" s="25"/>
      <c r="E212" s="27"/>
      <c r="F212" s="27"/>
    </row>
    <row r="213" spans="1:6" ht="22.6" customHeight="1">
      <c r="A213" s="25"/>
      <c r="B213" s="26"/>
      <c r="C213" s="25"/>
      <c r="D213" s="25"/>
      <c r="E213" s="27"/>
      <c r="F213" s="27"/>
    </row>
    <row r="214" spans="1:6" ht="22.6" customHeight="1">
      <c r="A214" s="25"/>
      <c r="B214" s="26"/>
      <c r="C214" s="25"/>
      <c r="D214" s="25"/>
      <c r="E214" s="27"/>
      <c r="F214" s="27"/>
    </row>
    <row r="215" spans="1:6" ht="22.6" customHeight="1">
      <c r="A215" s="25"/>
      <c r="B215" s="26"/>
      <c r="C215" s="25"/>
      <c r="D215" s="25"/>
      <c r="E215" s="27"/>
      <c r="F215" s="27"/>
    </row>
    <row r="216" spans="1:6" ht="22.6" customHeight="1">
      <c r="A216" s="25"/>
      <c r="B216" s="26"/>
      <c r="C216" s="25"/>
      <c r="D216" s="25"/>
      <c r="E216" s="27"/>
      <c r="F216" s="27"/>
    </row>
    <row r="217" spans="1:6" ht="22.6" customHeight="1">
      <c r="A217" s="25"/>
      <c r="B217" s="26"/>
      <c r="C217" s="25"/>
      <c r="D217" s="25"/>
      <c r="E217" s="27"/>
      <c r="F217" s="27"/>
    </row>
    <row r="218" spans="1:6" ht="22.6" customHeight="1">
      <c r="A218" s="25"/>
      <c r="B218" s="26"/>
      <c r="C218" s="25"/>
      <c r="D218" s="25"/>
      <c r="E218" s="27"/>
      <c r="F218" s="27"/>
    </row>
    <row r="219" spans="1:6" ht="22.6" customHeight="1">
      <c r="A219" s="25"/>
      <c r="B219" s="26"/>
      <c r="C219" s="25"/>
      <c r="D219" s="25"/>
      <c r="E219" s="27"/>
      <c r="F219" s="27"/>
    </row>
    <row r="220" spans="1:6" ht="22.6" customHeight="1">
      <c r="A220" s="25"/>
      <c r="B220" s="26"/>
      <c r="C220" s="25"/>
      <c r="D220" s="25"/>
      <c r="E220" s="27"/>
      <c r="F220" s="27"/>
    </row>
    <row r="221" spans="1:6" ht="22.6" customHeight="1">
      <c r="A221" s="25"/>
      <c r="B221" s="26"/>
      <c r="C221" s="25"/>
      <c r="D221" s="25"/>
      <c r="E221" s="27"/>
      <c r="F221" s="27"/>
    </row>
    <row r="222" spans="1:6" ht="22.6" customHeight="1">
      <c r="A222" s="25"/>
      <c r="B222" s="26"/>
      <c r="C222" s="25"/>
      <c r="D222" s="25"/>
      <c r="E222" s="27"/>
      <c r="F222" s="27"/>
    </row>
    <row r="223" spans="1:6" ht="22.6" customHeight="1">
      <c r="A223" s="25"/>
      <c r="B223" s="26"/>
      <c r="C223" s="25"/>
      <c r="D223" s="25"/>
      <c r="E223" s="27"/>
      <c r="F223" s="27"/>
    </row>
    <row r="224" spans="1:6" ht="22.6" customHeight="1">
      <c r="A224" s="25"/>
      <c r="B224" s="26"/>
      <c r="C224" s="25"/>
      <c r="D224" s="25"/>
      <c r="E224" s="27"/>
      <c r="F224" s="27"/>
    </row>
    <row r="225" spans="1:6" ht="22.6" customHeight="1">
      <c r="A225" s="25"/>
      <c r="B225" s="26"/>
      <c r="C225" s="25"/>
      <c r="D225" s="25"/>
      <c r="E225" s="27"/>
      <c r="F225" s="27"/>
    </row>
    <row r="226" spans="1:6" ht="22.6" customHeight="1">
      <c r="A226" s="25"/>
      <c r="B226" s="26"/>
      <c r="C226" s="25"/>
      <c r="D226" s="25"/>
      <c r="E226" s="27"/>
      <c r="F226" s="27"/>
    </row>
    <row r="227" spans="1:6" ht="22.6" customHeight="1">
      <c r="A227" s="25"/>
      <c r="B227" s="26"/>
      <c r="C227" s="25"/>
      <c r="D227" s="25"/>
      <c r="E227" s="27"/>
      <c r="F227" s="27"/>
    </row>
    <row r="228" spans="1:6" ht="22.6" customHeight="1">
      <c r="A228" s="25"/>
      <c r="B228" s="26"/>
      <c r="C228" s="25"/>
      <c r="D228" s="25"/>
      <c r="E228" s="27"/>
      <c r="F228" s="27"/>
    </row>
    <row r="229" spans="1:6" ht="22.6" customHeight="1">
      <c r="A229" s="25"/>
      <c r="B229" s="26"/>
      <c r="C229" s="25"/>
      <c r="D229" s="25"/>
      <c r="E229" s="27"/>
      <c r="F229" s="27"/>
    </row>
    <row r="230" spans="1:6" ht="22.6" customHeight="1">
      <c r="A230" s="25"/>
      <c r="B230" s="26"/>
      <c r="C230" s="25"/>
      <c r="D230" s="25"/>
      <c r="E230" s="27"/>
      <c r="F230" s="27"/>
    </row>
    <row r="231" spans="1:6" ht="22.6" customHeight="1">
      <c r="A231" s="25"/>
      <c r="B231" s="26"/>
      <c r="C231" s="25"/>
      <c r="D231" s="25"/>
      <c r="E231" s="27"/>
      <c r="F231" s="27"/>
    </row>
    <row r="232" spans="1:6" ht="22.6" customHeight="1">
      <c r="A232" s="25"/>
      <c r="B232" s="26"/>
      <c r="C232" s="25"/>
      <c r="D232" s="25"/>
      <c r="E232" s="27"/>
      <c r="F232" s="27"/>
    </row>
    <row r="233" spans="1:6" ht="22.6" customHeight="1">
      <c r="A233" s="25"/>
      <c r="B233" s="26"/>
      <c r="C233" s="25"/>
      <c r="D233" s="25"/>
      <c r="E233" s="27"/>
      <c r="F233" s="27"/>
    </row>
    <row r="234" spans="1:6" ht="22.6" customHeight="1">
      <c r="A234" s="25"/>
      <c r="B234" s="26"/>
      <c r="C234" s="25"/>
      <c r="D234" s="25"/>
      <c r="E234" s="27"/>
      <c r="F234" s="27"/>
    </row>
    <row r="235" spans="1:6" ht="22.6" customHeight="1">
      <c r="A235" s="25"/>
      <c r="B235" s="26"/>
      <c r="C235" s="25"/>
      <c r="D235" s="25"/>
      <c r="E235" s="27"/>
      <c r="F235" s="27"/>
    </row>
    <row r="236" spans="1:6" ht="22.6" customHeight="1">
      <c r="A236" s="25"/>
      <c r="B236" s="26"/>
      <c r="C236" s="25"/>
      <c r="D236" s="25"/>
      <c r="E236" s="27"/>
      <c r="F236" s="27"/>
    </row>
    <row r="237" spans="1:6" ht="22.6" customHeight="1">
      <c r="A237" s="25"/>
      <c r="B237" s="26"/>
      <c r="C237" s="25"/>
      <c r="D237" s="25"/>
      <c r="E237" s="27"/>
      <c r="F237" s="27"/>
    </row>
    <row r="238" spans="1:6" ht="22.6" customHeight="1">
      <c r="A238" s="25"/>
      <c r="B238" s="26"/>
      <c r="C238" s="25"/>
      <c r="D238" s="25"/>
      <c r="E238" s="27"/>
      <c r="F238" s="27"/>
    </row>
    <row r="239" spans="1:6" ht="22.6" customHeight="1">
      <c r="A239" s="25"/>
      <c r="B239" s="26"/>
      <c r="C239" s="25"/>
      <c r="D239" s="25"/>
      <c r="E239" s="27"/>
      <c r="F239" s="27"/>
    </row>
    <row r="240" spans="1:6" ht="22.6" customHeight="1">
      <c r="A240" s="25"/>
      <c r="B240" s="26"/>
      <c r="C240" s="25"/>
      <c r="D240" s="25"/>
      <c r="E240" s="27"/>
      <c r="F240" s="27"/>
    </row>
    <row r="241" spans="1:6" ht="22.6" customHeight="1">
      <c r="A241" s="25"/>
      <c r="B241" s="26"/>
      <c r="C241" s="25"/>
      <c r="D241" s="25"/>
      <c r="E241" s="27"/>
      <c r="F241" s="27"/>
    </row>
    <row r="242" spans="1:6" ht="22.6" customHeight="1">
      <c r="A242" s="25"/>
      <c r="B242" s="26"/>
      <c r="C242" s="25"/>
      <c r="D242" s="25"/>
      <c r="E242" s="27"/>
      <c r="F242" s="27"/>
    </row>
    <row r="243" spans="1:6" ht="22.6" customHeight="1">
      <c r="A243" s="25"/>
      <c r="B243" s="26"/>
      <c r="C243" s="25"/>
      <c r="D243" s="25"/>
      <c r="E243" s="27"/>
      <c r="F243" s="27"/>
    </row>
    <row r="244" spans="1:6" ht="22.6" customHeight="1">
      <c r="A244" s="25"/>
      <c r="B244" s="26"/>
      <c r="C244" s="25"/>
      <c r="D244" s="25"/>
      <c r="E244" s="27"/>
      <c r="F244" s="27"/>
    </row>
    <row r="245" spans="1:6" ht="22.6" customHeight="1">
      <c r="A245" s="25"/>
      <c r="B245" s="26"/>
      <c r="C245" s="25"/>
      <c r="D245" s="25"/>
      <c r="E245" s="27"/>
      <c r="F245" s="27"/>
    </row>
    <row r="246" spans="1:6" ht="22.6" customHeight="1">
      <c r="A246" s="25"/>
      <c r="B246" s="26"/>
      <c r="C246" s="25"/>
      <c r="D246" s="25"/>
      <c r="E246" s="27"/>
      <c r="F246" s="27"/>
    </row>
    <row r="247" spans="1:6" ht="22.6" customHeight="1">
      <c r="A247" s="25"/>
      <c r="B247" s="26"/>
      <c r="C247" s="25"/>
      <c r="D247" s="25"/>
      <c r="E247" s="27"/>
      <c r="F247" s="27"/>
    </row>
    <row r="248" spans="1:6" ht="22.6" customHeight="1">
      <c r="A248" s="25"/>
      <c r="B248" s="26"/>
      <c r="C248" s="25"/>
      <c r="D248" s="25"/>
      <c r="E248" s="27"/>
      <c r="F248" s="27"/>
    </row>
    <row r="249" spans="1:6" ht="22.6" customHeight="1">
      <c r="A249" s="25"/>
      <c r="B249" s="26"/>
      <c r="C249" s="25"/>
      <c r="D249" s="25"/>
      <c r="E249" s="27"/>
      <c r="F249" s="27"/>
    </row>
    <row r="250" spans="1:6" ht="22.6" customHeight="1">
      <c r="A250" s="25"/>
      <c r="B250" s="26"/>
      <c r="C250" s="25"/>
      <c r="D250" s="25"/>
      <c r="E250" s="27"/>
      <c r="F250" s="27"/>
    </row>
    <row r="251" spans="1:6" ht="22.6" customHeight="1">
      <c r="A251" s="25"/>
      <c r="B251" s="26"/>
      <c r="C251" s="25"/>
      <c r="D251" s="25"/>
      <c r="E251" s="27"/>
      <c r="F251" s="27"/>
    </row>
    <row r="252" spans="1:6" ht="22.6" customHeight="1">
      <c r="A252" s="25"/>
      <c r="B252" s="26"/>
      <c r="C252" s="25"/>
      <c r="D252" s="25"/>
      <c r="E252" s="27"/>
      <c r="F252" s="27"/>
    </row>
    <row r="253" spans="1:6" ht="22.6" customHeight="1">
      <c r="A253" s="25"/>
      <c r="B253" s="26"/>
      <c r="C253" s="25"/>
      <c r="D253" s="25"/>
      <c r="E253" s="27"/>
      <c r="F253" s="27"/>
    </row>
    <row r="254" spans="1:6" ht="22.6" customHeight="1">
      <c r="A254" s="25"/>
      <c r="B254" s="26"/>
      <c r="C254" s="25"/>
      <c r="D254" s="25"/>
      <c r="E254" s="27"/>
      <c r="F254" s="27"/>
    </row>
    <row r="255" spans="1:6" ht="22.6" customHeight="1">
      <c r="A255" s="25"/>
      <c r="B255" s="26"/>
      <c r="C255" s="25"/>
      <c r="D255" s="25"/>
      <c r="E255" s="27"/>
      <c r="F255" s="27"/>
    </row>
    <row r="256" spans="1:6" ht="22.6" customHeight="1">
      <c r="A256" s="25"/>
      <c r="B256" s="26"/>
      <c r="C256" s="25"/>
      <c r="D256" s="25"/>
      <c r="E256" s="27"/>
      <c r="F256" s="27"/>
    </row>
    <row r="257" spans="1:6" ht="22.6" customHeight="1">
      <c r="A257" s="25"/>
      <c r="B257" s="26"/>
      <c r="C257" s="25"/>
      <c r="D257" s="25"/>
      <c r="E257" s="27"/>
      <c r="F257" s="27"/>
    </row>
    <row r="258" spans="1:6" ht="22.6" customHeight="1">
      <c r="A258" s="25"/>
      <c r="B258" s="26"/>
      <c r="C258" s="25"/>
      <c r="D258" s="25"/>
      <c r="E258" s="27"/>
      <c r="F258" s="27"/>
    </row>
    <row r="259" spans="1:6" ht="22.6" customHeight="1">
      <c r="A259" s="25"/>
      <c r="B259" s="26"/>
      <c r="C259" s="25"/>
      <c r="D259" s="25"/>
      <c r="E259" s="27"/>
      <c r="F259" s="27"/>
    </row>
    <row r="260" spans="1:6" ht="22.6" customHeight="1">
      <c r="A260" s="25"/>
      <c r="B260" s="26"/>
      <c r="C260" s="25"/>
      <c r="D260" s="25"/>
      <c r="E260" s="27"/>
      <c r="F260" s="27"/>
    </row>
    <row r="261" spans="1:6" ht="22.6" customHeight="1">
      <c r="A261" s="25"/>
      <c r="B261" s="26"/>
      <c r="C261" s="25"/>
      <c r="D261" s="25"/>
      <c r="E261" s="27"/>
      <c r="F261" s="27"/>
    </row>
    <row r="262" spans="1:6" ht="22.6" customHeight="1">
      <c r="A262" s="25"/>
      <c r="B262" s="26"/>
      <c r="C262" s="25"/>
      <c r="D262" s="25"/>
      <c r="E262" s="27"/>
      <c r="F262" s="27"/>
    </row>
    <row r="263" spans="1:6" ht="22.6" customHeight="1">
      <c r="A263" s="25"/>
      <c r="B263" s="26"/>
      <c r="C263" s="25"/>
      <c r="D263" s="25"/>
      <c r="E263" s="27"/>
      <c r="F263" s="27"/>
    </row>
    <row r="264" spans="1:6" ht="22.6" customHeight="1">
      <c r="A264" s="25"/>
      <c r="B264" s="26"/>
      <c r="C264" s="25"/>
      <c r="D264" s="25"/>
      <c r="E264" s="27"/>
      <c r="F264" s="27"/>
    </row>
    <row r="265" spans="1:6" ht="22.6" customHeight="1">
      <c r="A265" s="25"/>
      <c r="B265" s="26"/>
      <c r="C265" s="25"/>
      <c r="D265" s="25"/>
      <c r="E265" s="27"/>
      <c r="F265" s="27"/>
    </row>
    <row r="266" spans="1:6" ht="22.6" customHeight="1">
      <c r="A266" s="25"/>
      <c r="B266" s="26"/>
      <c r="C266" s="25"/>
      <c r="D266" s="25"/>
      <c r="E266" s="27"/>
      <c r="F266" s="27"/>
    </row>
    <row r="267" spans="1:6" ht="22.6" customHeight="1">
      <c r="A267" s="25"/>
      <c r="B267" s="26"/>
      <c r="C267" s="25"/>
      <c r="D267" s="25"/>
      <c r="E267" s="27"/>
      <c r="F267" s="27"/>
    </row>
    <row r="268" spans="1:6" ht="22.6" customHeight="1">
      <c r="A268" s="25"/>
      <c r="B268" s="26"/>
      <c r="C268" s="25"/>
      <c r="D268" s="25"/>
      <c r="E268" s="27"/>
      <c r="F268" s="27"/>
    </row>
    <row r="269" spans="1:6" ht="22.6" customHeight="1">
      <c r="A269" s="25"/>
      <c r="B269" s="26"/>
      <c r="C269" s="25"/>
      <c r="D269" s="25"/>
      <c r="E269" s="27"/>
      <c r="F269" s="27"/>
    </row>
    <row r="270" spans="1:6" ht="22.6" customHeight="1">
      <c r="A270" s="25"/>
      <c r="B270" s="26"/>
      <c r="C270" s="25"/>
      <c r="D270" s="25"/>
      <c r="E270" s="27"/>
      <c r="F270" s="27"/>
    </row>
    <row r="271" spans="1:6" ht="22.6" customHeight="1">
      <c r="A271" s="25"/>
      <c r="B271" s="26"/>
      <c r="C271" s="25"/>
      <c r="D271" s="25"/>
      <c r="E271" s="27"/>
      <c r="F271" s="27"/>
    </row>
    <row r="272" spans="1:6" ht="22.6" customHeight="1">
      <c r="A272" s="25"/>
      <c r="B272" s="26"/>
      <c r="C272" s="25"/>
      <c r="D272" s="25"/>
      <c r="E272" s="27"/>
      <c r="F272" s="27"/>
    </row>
    <row r="273" spans="1:6" ht="22.6" customHeight="1">
      <c r="A273" s="25"/>
      <c r="B273" s="26"/>
      <c r="C273" s="25"/>
      <c r="D273" s="25"/>
      <c r="E273" s="27"/>
      <c r="F273" s="27"/>
    </row>
    <row r="274" spans="1:6" ht="22.6" customHeight="1">
      <c r="A274" s="25"/>
      <c r="B274" s="26"/>
      <c r="C274" s="25"/>
      <c r="D274" s="25"/>
      <c r="E274" s="27"/>
      <c r="F274" s="27"/>
    </row>
    <row r="275" spans="1:6" ht="22.6" customHeight="1">
      <c r="A275" s="25"/>
      <c r="B275" s="26"/>
      <c r="C275" s="25"/>
      <c r="D275" s="25"/>
      <c r="E275" s="27"/>
      <c r="F275" s="27"/>
    </row>
    <row r="276" spans="1:6" ht="22.6" customHeight="1">
      <c r="A276" s="25"/>
      <c r="B276" s="26"/>
      <c r="C276" s="25"/>
      <c r="D276" s="25"/>
      <c r="E276" s="27"/>
      <c r="F276" s="27"/>
    </row>
    <row r="277" spans="1:6" ht="22.6" customHeight="1">
      <c r="A277" s="25"/>
      <c r="B277" s="26"/>
      <c r="C277" s="25"/>
      <c r="D277" s="25"/>
      <c r="E277" s="27"/>
      <c r="F277" s="27"/>
    </row>
    <row r="278" spans="1:6" ht="22.6" customHeight="1">
      <c r="A278" s="25"/>
      <c r="B278" s="26"/>
      <c r="C278" s="25"/>
      <c r="D278" s="25"/>
      <c r="E278" s="27"/>
      <c r="F278" s="27"/>
    </row>
    <row r="279" spans="1:6" ht="22.6" customHeight="1">
      <c r="A279" s="25"/>
      <c r="B279" s="26"/>
      <c r="C279" s="25"/>
      <c r="D279" s="25"/>
      <c r="E279" s="27"/>
      <c r="F279" s="27"/>
    </row>
    <row r="280" spans="1:6" ht="22.6" customHeight="1">
      <c r="A280" s="25"/>
      <c r="B280" s="26"/>
      <c r="C280" s="25"/>
      <c r="D280" s="25"/>
      <c r="E280" s="27"/>
      <c r="F280" s="27"/>
    </row>
    <row r="281" spans="1:6" ht="22.6" customHeight="1">
      <c r="A281" s="25"/>
      <c r="B281" s="26"/>
      <c r="C281" s="25"/>
      <c r="D281" s="25"/>
      <c r="E281" s="27"/>
      <c r="F281" s="27"/>
    </row>
    <row r="282" spans="1:6" ht="22.6" customHeight="1">
      <c r="A282" s="25"/>
      <c r="B282" s="26"/>
      <c r="C282" s="25"/>
      <c r="D282" s="25"/>
      <c r="E282" s="27"/>
      <c r="F282" s="27"/>
    </row>
    <row r="283" spans="1:6" ht="22.6" customHeight="1">
      <c r="A283" s="25"/>
      <c r="B283" s="26"/>
      <c r="C283" s="25"/>
      <c r="D283" s="25"/>
      <c r="E283" s="27"/>
      <c r="F283" s="27"/>
    </row>
    <row r="284" spans="1:6" ht="22.6" customHeight="1">
      <c r="A284" s="25"/>
      <c r="B284" s="26"/>
      <c r="C284" s="25"/>
      <c r="D284" s="25"/>
      <c r="E284" s="27"/>
      <c r="F284" s="27"/>
    </row>
    <row r="285" spans="1:6" ht="22.6" customHeight="1">
      <c r="A285" s="25"/>
      <c r="B285" s="26"/>
      <c r="C285" s="25"/>
      <c r="D285" s="25"/>
      <c r="E285" s="27"/>
      <c r="F285" s="27"/>
    </row>
    <row r="286" spans="1:6" ht="22.6" customHeight="1">
      <c r="A286" s="25"/>
      <c r="B286" s="26"/>
      <c r="C286" s="25"/>
      <c r="D286" s="25"/>
      <c r="E286" s="27"/>
      <c r="F286" s="27"/>
    </row>
    <row r="287" spans="1:6" ht="22.6" customHeight="1">
      <c r="A287" s="25"/>
      <c r="B287" s="26"/>
      <c r="C287" s="25"/>
      <c r="D287" s="25"/>
      <c r="E287" s="27"/>
      <c r="F287" s="27"/>
    </row>
    <row r="288" spans="1:6" ht="22.6" customHeight="1">
      <c r="A288" s="25"/>
      <c r="B288" s="26"/>
      <c r="C288" s="25"/>
      <c r="D288" s="25"/>
      <c r="E288" s="27"/>
      <c r="F288" s="27"/>
    </row>
    <row r="289" spans="1:6" ht="22.6" customHeight="1">
      <c r="A289" s="25"/>
      <c r="B289" s="26"/>
      <c r="C289" s="25"/>
      <c r="D289" s="25"/>
      <c r="E289" s="27"/>
      <c r="F289" s="27"/>
    </row>
    <row r="290" spans="1:6" ht="22.6" customHeight="1">
      <c r="A290" s="25"/>
      <c r="B290" s="26"/>
      <c r="C290" s="25"/>
      <c r="D290" s="25"/>
      <c r="E290" s="27"/>
      <c r="F290" s="27"/>
    </row>
    <row r="291" spans="1:6" ht="22.6" customHeight="1">
      <c r="A291" s="25"/>
      <c r="B291" s="26"/>
      <c r="C291" s="25"/>
      <c r="D291" s="25"/>
      <c r="E291" s="27"/>
      <c r="F291" s="27"/>
    </row>
    <row r="292" spans="1:6" ht="22.6" customHeight="1">
      <c r="A292" s="25"/>
      <c r="B292" s="26"/>
      <c r="C292" s="25"/>
      <c r="D292" s="25"/>
      <c r="E292" s="27"/>
      <c r="F292" s="27"/>
    </row>
    <row r="293" spans="1:6" ht="22.6" customHeight="1">
      <c r="A293" s="25"/>
      <c r="B293" s="26"/>
      <c r="C293" s="25"/>
      <c r="D293" s="25"/>
      <c r="E293" s="27"/>
      <c r="F293" s="27"/>
    </row>
    <row r="294" spans="1:6" ht="22.6" customHeight="1">
      <c r="A294" s="25"/>
      <c r="B294" s="26"/>
      <c r="C294" s="25"/>
      <c r="D294" s="25"/>
      <c r="E294" s="27"/>
      <c r="F294" s="27"/>
    </row>
    <row r="295" spans="1:6" ht="22.6" customHeight="1">
      <c r="A295" s="25"/>
      <c r="B295" s="26"/>
      <c r="C295" s="25"/>
      <c r="D295" s="25"/>
      <c r="E295" s="27"/>
      <c r="F295" s="27"/>
    </row>
    <row r="296" spans="1:6" ht="22.6" customHeight="1">
      <c r="A296" s="25"/>
      <c r="B296" s="26"/>
      <c r="C296" s="25"/>
      <c r="D296" s="25"/>
      <c r="E296" s="27"/>
      <c r="F296" s="27"/>
    </row>
    <row r="297" spans="1:6" ht="22.6" customHeight="1">
      <c r="A297" s="25"/>
      <c r="B297" s="26"/>
      <c r="C297" s="25"/>
      <c r="D297" s="25"/>
      <c r="E297" s="27"/>
      <c r="F297" s="27"/>
    </row>
    <row r="298" spans="1:6" ht="22.6" customHeight="1">
      <c r="A298" s="25"/>
      <c r="B298" s="26"/>
      <c r="C298" s="25"/>
      <c r="D298" s="25"/>
      <c r="E298" s="27"/>
      <c r="F298" s="27"/>
    </row>
    <row r="299" spans="1:6" ht="22.6" customHeight="1">
      <c r="A299" s="25"/>
      <c r="B299" s="26"/>
      <c r="C299" s="25"/>
      <c r="D299" s="25"/>
      <c r="E299" s="27"/>
      <c r="F299" s="27"/>
    </row>
    <row r="300" spans="1:6" ht="22.6" customHeight="1">
      <c r="A300" s="25"/>
      <c r="B300" s="26"/>
      <c r="C300" s="25"/>
      <c r="D300" s="25"/>
      <c r="E300" s="27"/>
      <c r="F300" s="27"/>
    </row>
    <row r="301" spans="1:6" ht="22.6" customHeight="1">
      <c r="A301" s="25"/>
      <c r="B301" s="26"/>
      <c r="C301" s="25"/>
      <c r="D301" s="25"/>
      <c r="E301" s="27"/>
      <c r="F301" s="27"/>
    </row>
    <row r="302" spans="1:6" ht="22.6" customHeight="1">
      <c r="A302" s="25"/>
      <c r="B302" s="26"/>
      <c r="C302" s="25"/>
      <c r="D302" s="25"/>
      <c r="E302" s="27"/>
      <c r="F302" s="27"/>
    </row>
    <row r="303" spans="1:6" ht="22.6" customHeight="1">
      <c r="A303" s="25"/>
      <c r="B303" s="26"/>
      <c r="C303" s="25"/>
      <c r="D303" s="25"/>
      <c r="E303" s="27"/>
      <c r="F303" s="27"/>
    </row>
    <row r="304" spans="1:6" ht="22.6" customHeight="1">
      <c r="A304" s="25"/>
      <c r="B304" s="26"/>
      <c r="C304" s="25"/>
      <c r="D304" s="25"/>
      <c r="E304" s="27"/>
      <c r="F304" s="27"/>
    </row>
    <row r="305" spans="1:6" ht="22.6" customHeight="1">
      <c r="A305" s="25"/>
      <c r="B305" s="26"/>
      <c r="C305" s="25"/>
      <c r="D305" s="25"/>
      <c r="E305" s="27"/>
      <c r="F305" s="27"/>
    </row>
    <row r="306" spans="1:6" ht="22.6" customHeight="1">
      <c r="A306" s="25"/>
      <c r="B306" s="26"/>
      <c r="C306" s="25"/>
      <c r="D306" s="25"/>
      <c r="E306" s="27"/>
      <c r="F306" s="27"/>
    </row>
    <row r="307" spans="1:6" ht="22.6" customHeight="1">
      <c r="A307" s="25"/>
      <c r="B307" s="26"/>
      <c r="C307" s="25"/>
      <c r="D307" s="25"/>
      <c r="E307" s="27"/>
      <c r="F307" s="27"/>
    </row>
    <row r="308" spans="1:6" ht="22.6" customHeight="1">
      <c r="A308" s="25"/>
      <c r="B308" s="26"/>
      <c r="C308" s="25"/>
      <c r="D308" s="25"/>
      <c r="E308" s="27"/>
      <c r="F308" s="27"/>
    </row>
    <row r="309" spans="1:6" ht="22.6" customHeight="1">
      <c r="A309" s="25"/>
      <c r="B309" s="26"/>
      <c r="C309" s="25"/>
      <c r="D309" s="25"/>
      <c r="E309" s="27"/>
      <c r="F309" s="27"/>
    </row>
    <row r="310" spans="1:6" ht="22.6" customHeight="1">
      <c r="A310" s="25"/>
      <c r="B310" s="26"/>
      <c r="C310" s="25"/>
      <c r="D310" s="25"/>
      <c r="E310" s="27"/>
      <c r="F310" s="27"/>
    </row>
    <row r="311" spans="1:6" ht="22.6" customHeight="1">
      <c r="A311" s="25"/>
      <c r="B311" s="26"/>
      <c r="C311" s="25"/>
      <c r="D311" s="25"/>
      <c r="E311" s="27"/>
      <c r="F311" s="27"/>
    </row>
    <row r="312" spans="1:6" ht="22.6" customHeight="1">
      <c r="A312" s="25"/>
      <c r="B312" s="26"/>
      <c r="C312" s="25"/>
      <c r="D312" s="25"/>
      <c r="E312" s="27"/>
      <c r="F312" s="27"/>
    </row>
    <row r="313" spans="1:6" ht="22.6" customHeight="1">
      <c r="A313" s="25"/>
      <c r="B313" s="26"/>
      <c r="C313" s="25"/>
      <c r="D313" s="25"/>
      <c r="E313" s="27"/>
      <c r="F313" s="27"/>
    </row>
    <row r="314" spans="1:6" ht="22.6" customHeight="1">
      <c r="A314" s="25"/>
      <c r="B314" s="26"/>
      <c r="C314" s="25"/>
      <c r="D314" s="25"/>
      <c r="E314" s="27"/>
      <c r="F314" s="27"/>
    </row>
    <row r="315" spans="1:6" ht="22.6" customHeight="1">
      <c r="A315" s="25"/>
      <c r="B315" s="26"/>
      <c r="C315" s="25"/>
      <c r="D315" s="25"/>
      <c r="E315" s="27"/>
      <c r="F315" s="27"/>
    </row>
    <row r="316" spans="1:6" ht="22.6" customHeight="1">
      <c r="A316" s="25"/>
      <c r="B316" s="26"/>
      <c r="C316" s="25"/>
      <c r="D316" s="25"/>
      <c r="E316" s="27"/>
      <c r="F316" s="27"/>
    </row>
    <row r="317" spans="1:6" ht="22.6" customHeight="1">
      <c r="A317" s="25"/>
      <c r="B317" s="26"/>
      <c r="C317" s="25"/>
      <c r="D317" s="25"/>
      <c r="E317" s="27"/>
      <c r="F317" s="27"/>
    </row>
    <row r="318" spans="1:6" ht="22.6" customHeight="1">
      <c r="A318" s="25"/>
      <c r="B318" s="26"/>
      <c r="C318" s="25"/>
      <c r="D318" s="25"/>
      <c r="E318" s="27"/>
      <c r="F318" s="27"/>
    </row>
    <row r="319" spans="1:6" ht="22.6" customHeight="1">
      <c r="A319" s="25"/>
      <c r="B319" s="26"/>
      <c r="C319" s="25"/>
      <c r="D319" s="25"/>
      <c r="E319" s="27"/>
      <c r="F319" s="27"/>
    </row>
    <row r="320" spans="1:6" ht="22.6" customHeight="1">
      <c r="A320" s="25"/>
      <c r="B320" s="26"/>
      <c r="C320" s="25"/>
      <c r="D320" s="25"/>
      <c r="E320" s="27"/>
      <c r="F320" s="27"/>
    </row>
    <row r="321" spans="1:6" ht="22.6" customHeight="1">
      <c r="A321" s="25"/>
      <c r="B321" s="26"/>
      <c r="C321" s="25"/>
      <c r="D321" s="25"/>
      <c r="E321" s="27"/>
      <c r="F321" s="27"/>
    </row>
    <row r="322" spans="1:6" ht="22.6" customHeight="1">
      <c r="A322" s="25"/>
      <c r="B322" s="26"/>
      <c r="C322" s="25"/>
      <c r="D322" s="25"/>
      <c r="E322" s="27"/>
      <c r="F322" s="27"/>
    </row>
    <row r="323" spans="1:6" ht="22.6" customHeight="1">
      <c r="A323" s="25"/>
      <c r="B323" s="26"/>
      <c r="C323" s="25"/>
      <c r="D323" s="25"/>
      <c r="E323" s="27"/>
      <c r="F323" s="27"/>
    </row>
    <row r="324" spans="1:6" ht="22.6" customHeight="1">
      <c r="A324" s="25"/>
      <c r="B324" s="26"/>
      <c r="C324" s="25"/>
      <c r="D324" s="25"/>
      <c r="E324" s="27"/>
      <c r="F324" s="27"/>
    </row>
    <row r="325" spans="1:6" ht="22.6" customHeight="1">
      <c r="A325" s="25"/>
      <c r="B325" s="26"/>
      <c r="C325" s="25"/>
      <c r="D325" s="25"/>
      <c r="E325" s="27"/>
      <c r="F325" s="27"/>
    </row>
    <row r="326" spans="1:6" ht="22.6" customHeight="1">
      <c r="A326" s="25"/>
      <c r="B326" s="26"/>
      <c r="C326" s="25"/>
      <c r="D326" s="25"/>
      <c r="E326" s="27"/>
      <c r="F326" s="27"/>
    </row>
    <row r="327" spans="1:6" ht="22.6" customHeight="1">
      <c r="A327" s="25"/>
      <c r="B327" s="26"/>
      <c r="C327" s="25"/>
      <c r="D327" s="25"/>
      <c r="E327" s="27"/>
      <c r="F327" s="27"/>
    </row>
    <row r="328" spans="1:6" ht="22.6" customHeight="1">
      <c r="A328" s="25"/>
      <c r="B328" s="26"/>
      <c r="C328" s="25"/>
      <c r="D328" s="25"/>
      <c r="E328" s="27"/>
      <c r="F328" s="27"/>
    </row>
    <row r="329" spans="1:6" ht="22.6" customHeight="1">
      <c r="A329" s="25"/>
      <c r="B329" s="26"/>
      <c r="C329" s="25"/>
      <c r="D329" s="25"/>
      <c r="E329" s="27"/>
      <c r="F329" s="27"/>
    </row>
    <row r="330" spans="1:6" ht="22.6" customHeight="1">
      <c r="A330" s="25"/>
      <c r="B330" s="26"/>
      <c r="C330" s="25"/>
      <c r="D330" s="25"/>
      <c r="E330" s="27"/>
      <c r="F330" s="27"/>
    </row>
    <row r="331" spans="1:6" ht="22.6" customHeight="1">
      <c r="A331" s="25"/>
      <c r="B331" s="26"/>
      <c r="C331" s="25"/>
      <c r="D331" s="25"/>
      <c r="E331" s="27"/>
      <c r="F331" s="27"/>
    </row>
    <row r="332" spans="1:6" ht="22.6" customHeight="1">
      <c r="A332" s="25"/>
      <c r="B332" s="26"/>
      <c r="C332" s="25"/>
      <c r="D332" s="25"/>
      <c r="E332" s="27"/>
      <c r="F332" s="27"/>
    </row>
    <row r="333" spans="1:6" ht="22.6" customHeight="1">
      <c r="A333" s="25"/>
      <c r="B333" s="26"/>
      <c r="C333" s="25"/>
      <c r="D333" s="25"/>
      <c r="E333" s="27"/>
      <c r="F333" s="27"/>
    </row>
    <row r="334" spans="1:6" ht="22.6" customHeight="1">
      <c r="A334" s="25"/>
      <c r="B334" s="26"/>
      <c r="C334" s="25"/>
      <c r="D334" s="25"/>
      <c r="E334" s="27"/>
      <c r="F334" s="27"/>
    </row>
    <row r="335" spans="1:6" ht="22.6" customHeight="1">
      <c r="A335" s="25"/>
      <c r="B335" s="26"/>
      <c r="C335" s="25"/>
      <c r="D335" s="25"/>
      <c r="E335" s="27"/>
      <c r="F335" s="27"/>
    </row>
    <row r="336" spans="1:6" ht="22.6" customHeight="1">
      <c r="A336" s="25"/>
      <c r="B336" s="26"/>
      <c r="C336" s="25"/>
      <c r="D336" s="25"/>
      <c r="E336" s="27"/>
      <c r="F336" s="27"/>
    </row>
    <row r="337" spans="1:6" ht="22.6" customHeight="1">
      <c r="A337" s="25"/>
      <c r="B337" s="26"/>
      <c r="C337" s="25"/>
      <c r="D337" s="25"/>
      <c r="E337" s="27"/>
      <c r="F337" s="27"/>
    </row>
    <row r="338" spans="1:6" ht="22.6" customHeight="1">
      <c r="A338" s="25"/>
      <c r="B338" s="26"/>
      <c r="C338" s="25"/>
      <c r="D338" s="25"/>
      <c r="E338" s="27"/>
      <c r="F338" s="27"/>
    </row>
    <row r="339" spans="1:6" ht="22.6" customHeight="1">
      <c r="A339" s="25"/>
      <c r="B339" s="26"/>
      <c r="C339" s="25"/>
      <c r="D339" s="25"/>
      <c r="E339" s="27"/>
      <c r="F339" s="27"/>
    </row>
    <row r="340" spans="1:6" ht="22.6" customHeight="1">
      <c r="A340" s="25"/>
      <c r="B340" s="26"/>
      <c r="C340" s="25"/>
      <c r="D340" s="25"/>
      <c r="E340" s="27"/>
      <c r="F340" s="27"/>
    </row>
    <row r="341" spans="1:6" ht="22.6" customHeight="1">
      <c r="A341" s="25"/>
      <c r="B341" s="26"/>
      <c r="C341" s="25"/>
      <c r="D341" s="25"/>
      <c r="E341" s="27"/>
      <c r="F341" s="27"/>
    </row>
    <row r="342" spans="1:6" ht="22.6" customHeight="1">
      <c r="A342" s="25"/>
      <c r="B342" s="26"/>
      <c r="C342" s="25"/>
      <c r="D342" s="25"/>
      <c r="E342" s="27"/>
      <c r="F342" s="27"/>
    </row>
    <row r="343" spans="1:6" ht="22.6" customHeight="1">
      <c r="A343" s="25"/>
      <c r="B343" s="26"/>
      <c r="C343" s="25"/>
      <c r="D343" s="25"/>
      <c r="E343" s="27"/>
      <c r="F343" s="27"/>
    </row>
    <row r="344" spans="1:6" ht="22.6" customHeight="1">
      <c r="A344" s="25"/>
      <c r="B344" s="26"/>
      <c r="C344" s="25"/>
      <c r="D344" s="25"/>
      <c r="E344" s="27"/>
      <c r="F344" s="27"/>
    </row>
    <row r="345" spans="1:6" ht="22.6" customHeight="1">
      <c r="A345" s="25"/>
      <c r="B345" s="26"/>
      <c r="C345" s="25"/>
      <c r="D345" s="25"/>
      <c r="E345" s="27"/>
      <c r="F345" s="27"/>
    </row>
    <row r="346" spans="1:6" ht="22.6" customHeight="1">
      <c r="A346" s="25"/>
      <c r="B346" s="26"/>
      <c r="C346" s="25"/>
      <c r="D346" s="25"/>
      <c r="E346" s="27"/>
      <c r="F346" s="27"/>
    </row>
    <row r="347" spans="1:6" ht="22.6" customHeight="1">
      <c r="A347" s="25"/>
      <c r="B347" s="26"/>
      <c r="C347" s="25"/>
      <c r="D347" s="25"/>
      <c r="E347" s="27"/>
      <c r="F347" s="27"/>
    </row>
    <row r="348" spans="1:6" ht="22.6" customHeight="1">
      <c r="A348" s="25"/>
      <c r="B348" s="26"/>
      <c r="C348" s="25"/>
      <c r="D348" s="25"/>
      <c r="E348" s="27"/>
      <c r="F348" s="27"/>
    </row>
    <row r="349" spans="1:6" ht="22.6" customHeight="1">
      <c r="A349" s="25"/>
      <c r="B349" s="26"/>
      <c r="C349" s="25"/>
      <c r="D349" s="25"/>
      <c r="E349" s="27"/>
      <c r="F349" s="27"/>
    </row>
    <row r="350" spans="1:6" ht="22.6" customHeight="1">
      <c r="A350" s="25"/>
      <c r="B350" s="26"/>
      <c r="C350" s="25"/>
      <c r="D350" s="25"/>
      <c r="E350" s="27"/>
      <c r="F350" s="27"/>
    </row>
    <row r="351" spans="1:6" ht="22.6" customHeight="1">
      <c r="A351" s="25"/>
      <c r="B351" s="26"/>
      <c r="C351" s="25"/>
      <c r="D351" s="25"/>
      <c r="E351" s="27"/>
      <c r="F351" s="27"/>
    </row>
    <row r="352" spans="1:6" ht="22.6" customHeight="1">
      <c r="A352" s="25"/>
      <c r="B352" s="26"/>
      <c r="C352" s="25"/>
      <c r="D352" s="25"/>
      <c r="E352" s="27"/>
      <c r="F352" s="27"/>
    </row>
    <row r="353" spans="1:6" ht="22.6" customHeight="1">
      <c r="A353" s="25"/>
      <c r="B353" s="26"/>
      <c r="C353" s="25"/>
      <c r="D353" s="25"/>
      <c r="E353" s="27"/>
      <c r="F353" s="27"/>
    </row>
    <row r="354" spans="1:6" ht="22.6" customHeight="1">
      <c r="A354" s="25"/>
      <c r="B354" s="26"/>
      <c r="C354" s="25"/>
      <c r="D354" s="25"/>
      <c r="E354" s="27"/>
      <c r="F354" s="27"/>
    </row>
    <row r="355" spans="1:6" ht="22.6" customHeight="1">
      <c r="A355" s="25"/>
      <c r="B355" s="26"/>
      <c r="C355" s="25"/>
      <c r="D355" s="25"/>
      <c r="E355" s="27"/>
      <c r="F355" s="27"/>
    </row>
    <row r="356" spans="1:6" ht="22.6" customHeight="1">
      <c r="A356" s="25"/>
      <c r="B356" s="26"/>
      <c r="C356" s="25"/>
      <c r="D356" s="25"/>
      <c r="E356" s="27"/>
      <c r="F356" s="27"/>
    </row>
    <row r="357" spans="1:6" ht="22.6" customHeight="1">
      <c r="A357" s="25"/>
      <c r="B357" s="26"/>
      <c r="C357" s="25"/>
      <c r="D357" s="25"/>
      <c r="E357" s="27"/>
      <c r="F357" s="27"/>
    </row>
    <row r="358" spans="1:6" ht="22.6" customHeight="1">
      <c r="A358" s="25"/>
      <c r="B358" s="26"/>
      <c r="C358" s="25"/>
      <c r="D358" s="25"/>
      <c r="E358" s="27"/>
      <c r="F358" s="27"/>
    </row>
    <row r="359" spans="1:6" ht="22.6" customHeight="1">
      <c r="A359" s="25"/>
      <c r="B359" s="26"/>
      <c r="C359" s="25"/>
      <c r="D359" s="25"/>
      <c r="E359" s="27"/>
      <c r="F359" s="27"/>
    </row>
    <row r="360" spans="1:6" ht="22.6" customHeight="1">
      <c r="A360" s="25"/>
      <c r="B360" s="26"/>
      <c r="C360" s="25"/>
      <c r="D360" s="25"/>
      <c r="E360" s="27"/>
      <c r="F360" s="27"/>
    </row>
    <row r="361" spans="1:6" ht="22.6" customHeight="1">
      <c r="A361" s="25"/>
      <c r="B361" s="26"/>
      <c r="C361" s="25"/>
      <c r="D361" s="25"/>
      <c r="E361" s="27"/>
      <c r="F361" s="27"/>
    </row>
    <row r="362" spans="1:6" ht="22.6" customHeight="1">
      <c r="A362" s="25"/>
      <c r="B362" s="26"/>
      <c r="C362" s="25"/>
      <c r="D362" s="25"/>
      <c r="E362" s="27"/>
      <c r="F362" s="27"/>
    </row>
    <row r="363" spans="1:6" ht="22.6" customHeight="1">
      <c r="A363" s="25"/>
      <c r="B363" s="26"/>
      <c r="C363" s="25"/>
      <c r="D363" s="25"/>
      <c r="E363" s="27"/>
      <c r="F363" s="27"/>
    </row>
    <row r="364" spans="1:6" ht="22.6" customHeight="1">
      <c r="A364" s="25"/>
      <c r="B364" s="26"/>
      <c r="C364" s="25"/>
      <c r="D364" s="25"/>
      <c r="E364" s="27"/>
      <c r="F364" s="27"/>
    </row>
    <row r="365" spans="1:6" ht="22.6" customHeight="1">
      <c r="A365" s="25"/>
      <c r="B365" s="26"/>
      <c r="C365" s="25"/>
      <c r="D365" s="25"/>
      <c r="E365" s="27"/>
      <c r="F365" s="27"/>
    </row>
    <row r="366" spans="1:6" ht="22.6" customHeight="1">
      <c r="A366" s="25"/>
      <c r="B366" s="26"/>
      <c r="C366" s="25"/>
      <c r="D366" s="25"/>
      <c r="E366" s="27"/>
      <c r="F366" s="27"/>
    </row>
    <row r="367" spans="1:6" ht="22.6" customHeight="1">
      <c r="A367" s="25"/>
      <c r="B367" s="26"/>
      <c r="C367" s="25"/>
      <c r="D367" s="25"/>
      <c r="E367" s="27"/>
      <c r="F367" s="27"/>
    </row>
    <row r="368" spans="1:6" ht="22.6" customHeight="1">
      <c r="A368" s="25"/>
      <c r="B368" s="26"/>
      <c r="C368" s="25"/>
      <c r="D368" s="25"/>
      <c r="E368" s="27"/>
      <c r="F368" s="27"/>
    </row>
    <row r="369" spans="1:6" ht="22.6" customHeight="1">
      <c r="A369" s="25"/>
      <c r="B369" s="26"/>
      <c r="C369" s="25"/>
      <c r="D369" s="25"/>
      <c r="E369" s="27"/>
      <c r="F369" s="27"/>
    </row>
    <row r="370" spans="1:6" ht="22.6" customHeight="1">
      <c r="A370" s="25"/>
      <c r="B370" s="26"/>
      <c r="C370" s="25"/>
      <c r="D370" s="25"/>
      <c r="E370" s="27"/>
      <c r="F370" s="27"/>
    </row>
    <row r="371" spans="1:6" ht="22.6" customHeight="1">
      <c r="A371" s="25"/>
      <c r="B371" s="26"/>
      <c r="C371" s="25"/>
      <c r="D371" s="25"/>
      <c r="E371" s="27"/>
      <c r="F371" s="27"/>
    </row>
    <row r="372" spans="1:6" ht="22.6" customHeight="1">
      <c r="A372" s="25"/>
      <c r="B372" s="26"/>
      <c r="C372" s="25"/>
      <c r="D372" s="25"/>
      <c r="E372" s="27"/>
      <c r="F372" s="27"/>
    </row>
    <row r="373" spans="1:6" ht="22.6" customHeight="1">
      <c r="A373" s="25"/>
      <c r="B373" s="26"/>
      <c r="C373" s="25"/>
      <c r="D373" s="25"/>
      <c r="E373" s="27"/>
      <c r="F373" s="27"/>
    </row>
    <row r="374" spans="1:6" ht="22.6" customHeight="1">
      <c r="A374" s="25"/>
      <c r="B374" s="26"/>
      <c r="C374" s="25"/>
      <c r="D374" s="25"/>
      <c r="E374" s="27"/>
      <c r="F374" s="27"/>
    </row>
    <row r="375" spans="1:6" ht="22.6" customHeight="1">
      <c r="A375" s="25"/>
      <c r="B375" s="26"/>
      <c r="C375" s="25"/>
      <c r="D375" s="25"/>
      <c r="E375" s="27"/>
      <c r="F375" s="27"/>
    </row>
    <row r="376" spans="1:6" ht="22.6" customHeight="1">
      <c r="A376" s="25"/>
      <c r="B376" s="26"/>
      <c r="C376" s="25"/>
      <c r="D376" s="25"/>
      <c r="E376" s="27"/>
      <c r="F376" s="27"/>
    </row>
    <row r="377" spans="1:6" ht="22.6" customHeight="1">
      <c r="A377" s="25"/>
      <c r="B377" s="26"/>
      <c r="C377" s="25"/>
      <c r="D377" s="25"/>
      <c r="E377" s="27"/>
      <c r="F377" s="27"/>
    </row>
    <row r="378" spans="1:6" ht="22.6" customHeight="1">
      <c r="A378" s="25"/>
      <c r="B378" s="26"/>
      <c r="C378" s="25"/>
      <c r="D378" s="25"/>
      <c r="E378" s="27"/>
      <c r="F378" s="27"/>
    </row>
    <row r="379" spans="1:6" ht="22.6" customHeight="1">
      <c r="A379" s="25"/>
      <c r="B379" s="26"/>
      <c r="C379" s="25"/>
      <c r="D379" s="25"/>
      <c r="E379" s="27"/>
      <c r="F379" s="27"/>
    </row>
    <row r="380" spans="1:6" ht="22.6" customHeight="1">
      <c r="A380" s="25"/>
      <c r="B380" s="26"/>
      <c r="C380" s="25"/>
      <c r="D380" s="25"/>
      <c r="E380" s="27"/>
      <c r="F380" s="27"/>
    </row>
    <row r="381" spans="1:6" ht="22.6" customHeight="1">
      <c r="A381" s="25"/>
      <c r="B381" s="26"/>
      <c r="C381" s="25"/>
      <c r="D381" s="25"/>
      <c r="E381" s="27"/>
      <c r="F381" s="27"/>
    </row>
    <row r="382" spans="1:6" ht="22.6" customHeight="1">
      <c r="A382" s="25"/>
      <c r="B382" s="26"/>
      <c r="C382" s="25"/>
      <c r="D382" s="25"/>
      <c r="E382" s="27"/>
      <c r="F382" s="27"/>
    </row>
    <row r="383" spans="1:6" ht="22.6" customHeight="1">
      <c r="A383" s="25"/>
      <c r="B383" s="26"/>
      <c r="C383" s="25"/>
      <c r="D383" s="25"/>
      <c r="E383" s="27"/>
      <c r="F383" s="27"/>
    </row>
    <row r="384" spans="1:6" ht="22.6" customHeight="1">
      <c r="A384" s="25"/>
      <c r="B384" s="26"/>
      <c r="C384" s="25"/>
      <c r="D384" s="25"/>
      <c r="E384" s="27"/>
      <c r="F384" s="27"/>
    </row>
    <row r="385" spans="1:6" ht="22.6" customHeight="1">
      <c r="A385" s="25"/>
      <c r="B385" s="26"/>
      <c r="C385" s="25"/>
      <c r="D385" s="25"/>
      <c r="E385" s="27"/>
      <c r="F385" s="27"/>
    </row>
    <row r="386" spans="1:6" ht="22.6" customHeight="1">
      <c r="A386" s="25"/>
      <c r="B386" s="26"/>
      <c r="C386" s="25"/>
      <c r="D386" s="25"/>
      <c r="E386" s="27"/>
      <c r="F386" s="27"/>
    </row>
    <row r="387" spans="1:6" ht="22.6" customHeight="1">
      <c r="A387" s="25"/>
      <c r="B387" s="26"/>
      <c r="C387" s="25"/>
      <c r="D387" s="25"/>
      <c r="E387" s="27"/>
      <c r="F387" s="27"/>
    </row>
    <row r="388" spans="1:6" ht="22.6" customHeight="1">
      <c r="A388" s="25"/>
      <c r="B388" s="26"/>
      <c r="C388" s="25"/>
      <c r="D388" s="25"/>
      <c r="E388" s="27"/>
      <c r="F388" s="27"/>
    </row>
    <row r="389" spans="1:6" ht="22.6" customHeight="1">
      <c r="A389" s="25"/>
      <c r="B389" s="26"/>
      <c r="C389" s="25"/>
      <c r="D389" s="25"/>
      <c r="E389" s="27"/>
      <c r="F389" s="27"/>
    </row>
    <row r="390" spans="1:6" ht="22.6" customHeight="1">
      <c r="A390" s="25"/>
      <c r="B390" s="26"/>
      <c r="C390" s="25"/>
      <c r="D390" s="25"/>
      <c r="E390" s="27"/>
      <c r="F390" s="27"/>
    </row>
    <row r="391" spans="1:6" ht="22.6" customHeight="1">
      <c r="A391" s="25"/>
      <c r="B391" s="26"/>
      <c r="C391" s="25"/>
      <c r="D391" s="25"/>
      <c r="E391" s="27"/>
      <c r="F391" s="27"/>
    </row>
    <row r="392" spans="1:6" ht="22.6" customHeight="1">
      <c r="A392" s="25"/>
      <c r="B392" s="26"/>
      <c r="C392" s="25"/>
      <c r="D392" s="25"/>
      <c r="E392" s="27"/>
      <c r="F392" s="27"/>
    </row>
    <row r="393" spans="1:6" ht="22.6" customHeight="1">
      <c r="A393" s="25"/>
      <c r="B393" s="26"/>
      <c r="C393" s="25"/>
      <c r="D393" s="25"/>
      <c r="E393" s="27"/>
      <c r="F393" s="27"/>
    </row>
    <row r="394" spans="1:6" ht="22.6" customHeight="1">
      <c r="A394" s="25"/>
      <c r="B394" s="26"/>
      <c r="C394" s="25"/>
      <c r="D394" s="25"/>
      <c r="E394" s="27"/>
      <c r="F394" s="27"/>
    </row>
    <row r="395" spans="1:6" ht="22.6" customHeight="1">
      <c r="A395" s="25"/>
      <c r="B395" s="26"/>
      <c r="C395" s="25"/>
      <c r="D395" s="25"/>
      <c r="E395" s="27"/>
      <c r="F395" s="27"/>
    </row>
    <row r="396" spans="1:6" ht="22.6" customHeight="1">
      <c r="A396" s="25"/>
      <c r="B396" s="26"/>
      <c r="C396" s="25"/>
      <c r="D396" s="25"/>
      <c r="E396" s="27"/>
      <c r="F396" s="27"/>
    </row>
    <row r="397" spans="1:6" ht="22.6" customHeight="1">
      <c r="A397" s="25"/>
      <c r="B397" s="26"/>
      <c r="C397" s="25"/>
      <c r="D397" s="25"/>
      <c r="E397" s="27"/>
      <c r="F397" s="27"/>
    </row>
    <row r="398" spans="1:6" ht="22.6" customHeight="1">
      <c r="A398" s="25"/>
      <c r="B398" s="26"/>
      <c r="C398" s="25"/>
      <c r="D398" s="25"/>
      <c r="E398" s="27"/>
      <c r="F398" s="27"/>
    </row>
    <row r="399" spans="1:6" ht="22.6" customHeight="1">
      <c r="A399" s="25"/>
      <c r="B399" s="26"/>
      <c r="C399" s="25"/>
      <c r="D399" s="25"/>
      <c r="E399" s="27"/>
      <c r="F399" s="27"/>
    </row>
    <row r="400" spans="1:6" ht="22.6" customHeight="1">
      <c r="A400" s="25"/>
      <c r="B400" s="26"/>
      <c r="C400" s="25"/>
      <c r="D400" s="25"/>
      <c r="E400" s="27"/>
      <c r="F400" s="27"/>
    </row>
    <row r="401" spans="1:6" ht="22.6" customHeight="1">
      <c r="A401" s="25"/>
      <c r="B401" s="26"/>
      <c r="C401" s="25"/>
      <c r="D401" s="25"/>
      <c r="E401" s="27"/>
      <c r="F401" s="27"/>
    </row>
    <row r="402" spans="1:6" ht="22.6" customHeight="1">
      <c r="A402" s="25"/>
      <c r="B402" s="26"/>
      <c r="C402" s="25"/>
      <c r="D402" s="25"/>
      <c r="E402" s="27"/>
      <c r="F402" s="27"/>
    </row>
    <row r="403" spans="1:6" ht="22.6" customHeight="1">
      <c r="A403" s="25"/>
      <c r="B403" s="26"/>
      <c r="C403" s="25"/>
      <c r="D403" s="25"/>
      <c r="E403" s="27"/>
      <c r="F403" s="27"/>
    </row>
    <row r="404" spans="1:6" ht="22.6" customHeight="1">
      <c r="A404" s="25"/>
      <c r="B404" s="26"/>
      <c r="C404" s="25"/>
      <c r="D404" s="25"/>
      <c r="E404" s="27"/>
      <c r="F404" s="27"/>
    </row>
    <row r="405" spans="1:6" ht="22.6" customHeight="1">
      <c r="A405" s="25"/>
      <c r="B405" s="26"/>
      <c r="C405" s="25"/>
      <c r="D405" s="25"/>
      <c r="E405" s="27"/>
      <c r="F405" s="27"/>
    </row>
    <row r="406" spans="1:6" ht="22.6" customHeight="1">
      <c r="A406" s="25"/>
      <c r="B406" s="26"/>
      <c r="C406" s="25"/>
      <c r="D406" s="25"/>
      <c r="E406" s="27"/>
      <c r="F406" s="27"/>
    </row>
    <row r="407" spans="1:6" ht="22.6" customHeight="1">
      <c r="A407" s="25"/>
      <c r="B407" s="26"/>
      <c r="C407" s="25"/>
      <c r="D407" s="25"/>
      <c r="E407" s="27"/>
      <c r="F407" s="27"/>
    </row>
    <row r="408" spans="1:6" ht="22.6" customHeight="1">
      <c r="A408" s="25"/>
      <c r="B408" s="26"/>
      <c r="C408" s="25"/>
      <c r="D408" s="25"/>
      <c r="E408" s="27"/>
      <c r="F408" s="27"/>
    </row>
    <row r="409" spans="1:6" ht="22.6" customHeight="1">
      <c r="A409" s="25"/>
      <c r="B409" s="26"/>
      <c r="C409" s="25"/>
      <c r="D409" s="25"/>
      <c r="E409" s="27"/>
      <c r="F409" s="27"/>
    </row>
    <row r="410" spans="1:6" ht="22.6" customHeight="1">
      <c r="A410" s="25"/>
      <c r="B410" s="26"/>
      <c r="C410" s="25"/>
      <c r="D410" s="25"/>
      <c r="E410" s="27"/>
      <c r="F410" s="27"/>
    </row>
    <row r="411" spans="1:6" ht="22.6" customHeight="1">
      <c r="A411" s="25"/>
      <c r="B411" s="26"/>
      <c r="C411" s="25"/>
      <c r="D411" s="25"/>
      <c r="E411" s="27"/>
      <c r="F411" s="27"/>
    </row>
    <row r="412" spans="1:6" ht="22.6" customHeight="1">
      <c r="A412" s="25"/>
      <c r="B412" s="26"/>
      <c r="C412" s="25"/>
      <c r="D412" s="25"/>
      <c r="E412" s="27"/>
      <c r="F412" s="27"/>
    </row>
    <row r="413" spans="1:6" ht="22.6" customHeight="1">
      <c r="A413" s="25"/>
      <c r="B413" s="26"/>
      <c r="C413" s="25"/>
      <c r="D413" s="25"/>
      <c r="E413" s="27"/>
      <c r="F413" s="27"/>
    </row>
    <row r="414" spans="1:6" ht="22.6" customHeight="1">
      <c r="A414" s="25"/>
      <c r="B414" s="26"/>
      <c r="C414" s="25"/>
      <c r="D414" s="25"/>
      <c r="E414" s="27"/>
      <c r="F414" s="27"/>
    </row>
    <row r="415" spans="1:6" ht="22.6" customHeight="1">
      <c r="A415" s="25"/>
      <c r="B415" s="26"/>
      <c r="C415" s="25"/>
      <c r="D415" s="25"/>
      <c r="E415" s="27"/>
      <c r="F415" s="27"/>
    </row>
    <row r="416" spans="1:6" ht="22.6" customHeight="1">
      <c r="A416" s="25"/>
      <c r="B416" s="26"/>
      <c r="C416" s="25"/>
      <c r="D416" s="25"/>
      <c r="E416" s="27"/>
      <c r="F416" s="27"/>
    </row>
    <row r="417" spans="1:6" ht="22.6" customHeight="1">
      <c r="A417" s="25"/>
      <c r="B417" s="26"/>
      <c r="C417" s="25"/>
      <c r="D417" s="25"/>
      <c r="E417" s="27"/>
      <c r="F417" s="27"/>
    </row>
    <row r="418" spans="1:6" ht="22.6" customHeight="1">
      <c r="A418" s="25"/>
      <c r="B418" s="26"/>
      <c r="C418" s="25"/>
      <c r="D418" s="25"/>
      <c r="E418" s="27"/>
      <c r="F418" s="27"/>
    </row>
    <row r="419" spans="1:6" ht="22.6" customHeight="1">
      <c r="A419" s="25"/>
      <c r="B419" s="26"/>
      <c r="C419" s="25"/>
      <c r="D419" s="25"/>
      <c r="E419" s="27"/>
      <c r="F419" s="27"/>
    </row>
    <row r="420" spans="1:6" ht="22.6" customHeight="1">
      <c r="A420" s="25"/>
      <c r="B420" s="26"/>
      <c r="C420" s="25"/>
      <c r="D420" s="25"/>
      <c r="E420" s="27"/>
      <c r="F420" s="27"/>
    </row>
    <row r="421" spans="1:6" ht="22.6" customHeight="1">
      <c r="A421" s="25"/>
      <c r="B421" s="26"/>
      <c r="C421" s="25"/>
      <c r="D421" s="25"/>
      <c r="E421" s="27"/>
      <c r="F421" s="27"/>
    </row>
    <row r="422" spans="1:6" ht="22.6" customHeight="1">
      <c r="A422" s="25"/>
      <c r="B422" s="26"/>
      <c r="C422" s="25"/>
      <c r="D422" s="25"/>
      <c r="E422" s="27"/>
      <c r="F422" s="27"/>
    </row>
    <row r="423" spans="1:6" ht="22.6" customHeight="1">
      <c r="A423" s="25"/>
      <c r="B423" s="26"/>
      <c r="C423" s="25"/>
      <c r="D423" s="25"/>
      <c r="E423" s="27"/>
      <c r="F423" s="27"/>
    </row>
    <row r="424" spans="1:6" ht="22.6" customHeight="1">
      <c r="A424" s="25"/>
      <c r="B424" s="26"/>
      <c r="C424" s="25"/>
      <c r="D424" s="25"/>
      <c r="E424" s="27"/>
      <c r="F424" s="27"/>
    </row>
    <row r="425" spans="1:6" ht="22.6" customHeight="1">
      <c r="A425" s="25"/>
      <c r="B425" s="26"/>
      <c r="C425" s="25"/>
      <c r="D425" s="25"/>
      <c r="E425" s="27"/>
      <c r="F425" s="27"/>
    </row>
    <row r="426" spans="1:6" ht="22.6" customHeight="1">
      <c r="A426" s="25"/>
      <c r="B426" s="26"/>
      <c r="C426" s="25"/>
      <c r="D426" s="25"/>
      <c r="E426" s="27"/>
      <c r="F426" s="27"/>
    </row>
    <row r="427" spans="1:6" ht="22.6" customHeight="1">
      <c r="A427" s="25"/>
      <c r="B427" s="26"/>
      <c r="C427" s="25"/>
      <c r="D427" s="25"/>
      <c r="E427" s="27"/>
      <c r="F427" s="27"/>
    </row>
    <row r="428" spans="1:6" ht="22.6" customHeight="1">
      <c r="A428" s="25"/>
      <c r="B428" s="26"/>
      <c r="C428" s="25"/>
      <c r="D428" s="25"/>
      <c r="E428" s="27"/>
      <c r="F428" s="27"/>
    </row>
    <row r="429" spans="1:6" ht="22.6" customHeight="1">
      <c r="A429" s="25"/>
      <c r="B429" s="26"/>
      <c r="C429" s="25"/>
      <c r="D429" s="25"/>
      <c r="E429" s="27"/>
      <c r="F429" s="27"/>
    </row>
    <row r="430" spans="1:6" ht="22.6" customHeight="1">
      <c r="A430" s="25"/>
      <c r="B430" s="26"/>
      <c r="C430" s="25"/>
      <c r="D430" s="25"/>
      <c r="E430" s="27"/>
      <c r="F430" s="27"/>
    </row>
    <row r="431" spans="1:6" ht="22.6" customHeight="1">
      <c r="A431" s="25"/>
      <c r="B431" s="26"/>
      <c r="C431" s="25"/>
      <c r="D431" s="25"/>
      <c r="E431" s="27"/>
      <c r="F431" s="27"/>
    </row>
    <row r="432" spans="1:6" ht="22.6" customHeight="1">
      <c r="A432" s="25"/>
      <c r="B432" s="26"/>
      <c r="C432" s="25"/>
      <c r="D432" s="25"/>
      <c r="E432" s="27"/>
      <c r="F432" s="27"/>
    </row>
    <row r="433" spans="1:6" ht="22.6" customHeight="1">
      <c r="A433" s="25"/>
      <c r="B433" s="26"/>
      <c r="C433" s="25"/>
      <c r="D433" s="25"/>
      <c r="E433" s="27"/>
      <c r="F433" s="27"/>
    </row>
    <row r="434" spans="1:6" ht="22.6" customHeight="1">
      <c r="A434" s="25"/>
      <c r="B434" s="26"/>
      <c r="C434" s="25"/>
      <c r="D434" s="25"/>
      <c r="E434" s="27"/>
      <c r="F434" s="27"/>
    </row>
    <row r="435" spans="1:6" ht="22.6" customHeight="1">
      <c r="A435" s="25"/>
      <c r="B435" s="26"/>
      <c r="C435" s="25"/>
      <c r="D435" s="25"/>
      <c r="E435" s="27"/>
      <c r="F435" s="27"/>
    </row>
    <row r="436" spans="1:6" ht="22.6" customHeight="1">
      <c r="A436" s="25"/>
      <c r="B436" s="26"/>
      <c r="C436" s="25"/>
      <c r="D436" s="25"/>
      <c r="E436" s="27"/>
      <c r="F436" s="27"/>
    </row>
    <row r="437" spans="1:6" ht="22.6" customHeight="1">
      <c r="A437" s="25"/>
      <c r="B437" s="26"/>
      <c r="C437" s="25"/>
      <c r="D437" s="25"/>
      <c r="E437" s="27"/>
      <c r="F437" s="27"/>
    </row>
    <row r="438" spans="1:6" ht="22.6" customHeight="1">
      <c r="A438" s="25"/>
      <c r="B438" s="26"/>
      <c r="C438" s="25"/>
      <c r="D438" s="25"/>
      <c r="E438" s="27"/>
      <c r="F438" s="27"/>
    </row>
    <row r="439" spans="1:6" ht="22.6" customHeight="1">
      <c r="A439" s="25"/>
      <c r="B439" s="26"/>
      <c r="C439" s="25"/>
      <c r="D439" s="25"/>
      <c r="E439" s="27"/>
      <c r="F439" s="27"/>
    </row>
    <row r="440" spans="1:6" ht="22.6" customHeight="1">
      <c r="A440" s="25"/>
      <c r="B440" s="26"/>
      <c r="C440" s="25"/>
      <c r="D440" s="25"/>
      <c r="E440" s="27"/>
      <c r="F440" s="27"/>
    </row>
    <row r="441" spans="1:6" ht="22.6" customHeight="1">
      <c r="A441" s="25"/>
      <c r="B441" s="26"/>
      <c r="C441" s="25"/>
      <c r="D441" s="25"/>
      <c r="E441" s="27"/>
      <c r="F441" s="27"/>
    </row>
    <row r="442" spans="1:6" ht="22.6" customHeight="1">
      <c r="A442" s="25"/>
      <c r="B442" s="26"/>
      <c r="C442" s="25"/>
      <c r="D442" s="25"/>
      <c r="E442" s="27"/>
      <c r="F442" s="27"/>
    </row>
    <row r="443" spans="1:6" ht="22.6" customHeight="1">
      <c r="A443" s="25"/>
      <c r="B443" s="26"/>
      <c r="C443" s="25"/>
      <c r="D443" s="25"/>
      <c r="E443" s="27"/>
      <c r="F443" s="27"/>
    </row>
    <row r="444" spans="1:6" ht="22.6" customHeight="1">
      <c r="A444" s="25"/>
      <c r="B444" s="26"/>
      <c r="C444" s="25"/>
      <c r="D444" s="25"/>
      <c r="E444" s="27"/>
      <c r="F444" s="27"/>
    </row>
    <row r="445" spans="1:6" ht="22.6" customHeight="1">
      <c r="A445" s="25"/>
      <c r="B445" s="26"/>
      <c r="C445" s="25"/>
      <c r="D445" s="25"/>
      <c r="E445" s="27"/>
      <c r="F445" s="27"/>
    </row>
    <row r="446" spans="1:6" ht="22.6" customHeight="1">
      <c r="A446" s="25"/>
      <c r="B446" s="26"/>
      <c r="C446" s="25"/>
      <c r="D446" s="25"/>
      <c r="E446" s="27"/>
      <c r="F446" s="27"/>
    </row>
    <row r="447" spans="1:6" ht="22.6" customHeight="1">
      <c r="A447" s="25"/>
      <c r="B447" s="26"/>
      <c r="C447" s="25"/>
      <c r="D447" s="25"/>
      <c r="E447" s="27"/>
      <c r="F447" s="27"/>
    </row>
    <row r="448" spans="1:6" ht="22.6" customHeight="1">
      <c r="A448" s="25"/>
      <c r="B448" s="26"/>
      <c r="C448" s="25"/>
      <c r="D448" s="25"/>
      <c r="E448" s="27"/>
      <c r="F448" s="27"/>
    </row>
    <row r="449" spans="1:6" ht="22.6" customHeight="1">
      <c r="A449" s="25"/>
      <c r="B449" s="26"/>
      <c r="C449" s="25"/>
      <c r="D449" s="25"/>
      <c r="E449" s="27"/>
      <c r="F449" s="27"/>
    </row>
    <row r="450" spans="1:6" ht="22.6" customHeight="1">
      <c r="A450" s="25"/>
      <c r="B450" s="26"/>
      <c r="C450" s="25"/>
      <c r="D450" s="25"/>
      <c r="E450" s="27"/>
      <c r="F450" s="27"/>
    </row>
    <row r="451" spans="1:6" ht="22.6" customHeight="1">
      <c r="A451" s="25"/>
      <c r="B451" s="26"/>
      <c r="C451" s="25"/>
      <c r="D451" s="25"/>
      <c r="E451" s="27"/>
      <c r="F451" s="27"/>
    </row>
    <row r="452" spans="1:6" ht="22.6" customHeight="1">
      <c r="A452" s="25"/>
      <c r="B452" s="26"/>
      <c r="C452" s="25"/>
      <c r="D452" s="25"/>
      <c r="E452" s="27"/>
      <c r="F452" s="27"/>
    </row>
    <row r="453" spans="1:6" ht="22.6" customHeight="1">
      <c r="A453" s="25"/>
      <c r="B453" s="26"/>
      <c r="C453" s="25"/>
      <c r="D453" s="25"/>
      <c r="E453" s="27"/>
      <c r="F453" s="27"/>
    </row>
    <row r="454" spans="1:6" ht="22.6" customHeight="1">
      <c r="A454" s="25"/>
      <c r="B454" s="26"/>
      <c r="C454" s="25"/>
      <c r="D454" s="25"/>
      <c r="E454" s="27"/>
      <c r="F454" s="27"/>
    </row>
    <row r="455" spans="1:6" ht="22.6" customHeight="1">
      <c r="A455" s="25"/>
      <c r="B455" s="26"/>
      <c r="C455" s="25"/>
      <c r="D455" s="25"/>
      <c r="E455" s="27"/>
      <c r="F455" s="27"/>
    </row>
    <row r="456" spans="1:6" ht="22.6" customHeight="1">
      <c r="A456" s="25"/>
      <c r="B456" s="26"/>
      <c r="C456" s="25"/>
      <c r="D456" s="25"/>
      <c r="E456" s="27"/>
      <c r="F456" s="27"/>
    </row>
    <row r="457" spans="1:6" ht="22.6" customHeight="1">
      <c r="A457" s="25"/>
      <c r="B457" s="26"/>
      <c r="C457" s="25"/>
      <c r="D457" s="25"/>
      <c r="E457" s="27"/>
      <c r="F457" s="27"/>
    </row>
    <row r="458" spans="1:6" ht="22.6" customHeight="1">
      <c r="A458" s="25"/>
      <c r="B458" s="26"/>
      <c r="C458" s="25"/>
      <c r="D458" s="25"/>
      <c r="E458" s="27"/>
      <c r="F458" s="27"/>
    </row>
    <row r="459" spans="1:6" ht="22.6" customHeight="1">
      <c r="A459" s="25"/>
      <c r="B459" s="26"/>
      <c r="C459" s="25"/>
      <c r="D459" s="25"/>
      <c r="E459" s="27"/>
      <c r="F459" s="27"/>
    </row>
    <row r="460" spans="1:6" ht="22.6" customHeight="1">
      <c r="A460" s="25"/>
      <c r="B460" s="26"/>
      <c r="C460" s="25"/>
      <c r="D460" s="25"/>
      <c r="E460" s="27"/>
      <c r="F460" s="27"/>
    </row>
    <row r="461" spans="1:6" ht="22.6" customHeight="1">
      <c r="A461" s="25"/>
      <c r="B461" s="26"/>
      <c r="C461" s="25"/>
      <c r="D461" s="25"/>
      <c r="E461" s="27"/>
      <c r="F461" s="27"/>
    </row>
    <row r="462" spans="1:6" ht="22.6" customHeight="1">
      <c r="A462" s="25"/>
      <c r="B462" s="26"/>
      <c r="C462" s="25"/>
      <c r="D462" s="25"/>
      <c r="E462" s="27"/>
      <c r="F462" s="27"/>
    </row>
    <row r="463" spans="1:6" ht="22.6" customHeight="1">
      <c r="A463" s="25"/>
      <c r="B463" s="26"/>
      <c r="C463" s="25"/>
      <c r="D463" s="25"/>
      <c r="E463" s="27"/>
      <c r="F463" s="27"/>
    </row>
    <row r="464" spans="1:6" ht="22.6" customHeight="1">
      <c r="A464" s="25"/>
      <c r="B464" s="26"/>
      <c r="C464" s="25"/>
      <c r="D464" s="25"/>
      <c r="E464" s="27"/>
      <c r="F464" s="27"/>
    </row>
    <row r="465" spans="1:6" ht="22.6" customHeight="1">
      <c r="A465" s="25"/>
      <c r="B465" s="26"/>
      <c r="C465" s="25"/>
      <c r="D465" s="25"/>
      <c r="E465" s="27"/>
      <c r="F465" s="27"/>
    </row>
    <row r="466" spans="1:6" ht="22.6" customHeight="1">
      <c r="A466" s="25"/>
      <c r="B466" s="26"/>
      <c r="C466" s="25"/>
      <c r="D466" s="25"/>
      <c r="E466" s="27"/>
      <c r="F466" s="27"/>
    </row>
    <row r="467" spans="1:6" ht="22.6" customHeight="1">
      <c r="A467" s="25"/>
      <c r="B467" s="26"/>
      <c r="C467" s="25"/>
      <c r="D467" s="25"/>
      <c r="E467" s="27"/>
      <c r="F467" s="27"/>
    </row>
    <row r="468" spans="1:6" ht="22.6" customHeight="1">
      <c r="A468" s="25"/>
      <c r="B468" s="26"/>
      <c r="C468" s="25"/>
      <c r="D468" s="25"/>
      <c r="E468" s="27"/>
      <c r="F468" s="27"/>
    </row>
    <row r="469" spans="1:6" ht="22.6" customHeight="1">
      <c r="A469" s="25"/>
      <c r="B469" s="26"/>
      <c r="C469" s="25"/>
      <c r="D469" s="25"/>
      <c r="E469" s="27"/>
      <c r="F469" s="27"/>
    </row>
    <row r="470" spans="1:6" ht="22.6" customHeight="1">
      <c r="A470" s="25"/>
      <c r="B470" s="26"/>
      <c r="C470" s="25"/>
      <c r="D470" s="25"/>
      <c r="E470" s="27"/>
      <c r="F470" s="27"/>
    </row>
    <row r="471" spans="1:6" ht="22.6" customHeight="1">
      <c r="A471" s="25"/>
      <c r="B471" s="26"/>
      <c r="C471" s="25"/>
      <c r="D471" s="25"/>
      <c r="E471" s="27"/>
      <c r="F471" s="27"/>
    </row>
    <row r="472" spans="1:6" ht="22.6" customHeight="1">
      <c r="A472" s="25"/>
      <c r="B472" s="26"/>
      <c r="C472" s="25"/>
      <c r="D472" s="25"/>
      <c r="E472" s="27"/>
      <c r="F472" s="27"/>
    </row>
    <row r="473" spans="1:6" ht="22.6" customHeight="1">
      <c r="A473" s="25"/>
      <c r="B473" s="26"/>
      <c r="C473" s="25"/>
      <c r="D473" s="25"/>
      <c r="E473" s="27"/>
      <c r="F473" s="27"/>
    </row>
    <row r="474" spans="1:6" ht="22.6" customHeight="1">
      <c r="A474" s="25"/>
      <c r="B474" s="26"/>
      <c r="C474" s="25"/>
      <c r="D474" s="25"/>
      <c r="E474" s="27"/>
      <c r="F474" s="27"/>
    </row>
    <row r="475" spans="1:6" ht="22.6" customHeight="1">
      <c r="A475" s="25"/>
      <c r="B475" s="26"/>
      <c r="C475" s="25"/>
      <c r="D475" s="25"/>
      <c r="E475" s="27"/>
      <c r="F475" s="27"/>
    </row>
    <row r="476" spans="1:6" ht="22.6" customHeight="1">
      <c r="A476" s="25"/>
      <c r="B476" s="26"/>
      <c r="C476" s="25"/>
      <c r="D476" s="25"/>
      <c r="E476" s="27"/>
      <c r="F476" s="27"/>
    </row>
    <row r="477" spans="1:6" ht="22.6" customHeight="1">
      <c r="A477" s="25"/>
      <c r="B477" s="26"/>
      <c r="C477" s="25"/>
      <c r="D477" s="25"/>
      <c r="E477" s="27"/>
      <c r="F477" s="27"/>
    </row>
    <row r="478" spans="1:6" ht="22.6" customHeight="1">
      <c r="A478" s="25"/>
      <c r="B478" s="26"/>
      <c r="C478" s="25"/>
      <c r="D478" s="25"/>
      <c r="E478" s="27"/>
      <c r="F478" s="27"/>
    </row>
    <row r="479" spans="1:6" ht="22.6" customHeight="1">
      <c r="A479" s="25"/>
      <c r="B479" s="26"/>
      <c r="C479" s="25"/>
      <c r="D479" s="25"/>
      <c r="E479" s="27"/>
      <c r="F479" s="27"/>
    </row>
    <row r="480" spans="1:6" ht="22.6" customHeight="1">
      <c r="A480" s="25"/>
      <c r="B480" s="26"/>
      <c r="C480" s="25"/>
      <c r="D480" s="25"/>
      <c r="E480" s="27"/>
      <c r="F480" s="27"/>
    </row>
    <row r="481" spans="1:6" ht="22.6" customHeight="1">
      <c r="A481" s="25"/>
      <c r="B481" s="26"/>
      <c r="C481" s="25"/>
      <c r="D481" s="25"/>
      <c r="E481" s="27"/>
      <c r="F481" s="27"/>
    </row>
    <row r="482" spans="1:6" ht="22.6" customHeight="1">
      <c r="A482" s="25"/>
      <c r="B482" s="26"/>
      <c r="C482" s="25"/>
      <c r="D482" s="25"/>
      <c r="E482" s="27"/>
      <c r="F482" s="27"/>
    </row>
    <row r="483" spans="1:6" ht="22.6" customHeight="1">
      <c r="A483" s="25"/>
      <c r="B483" s="26"/>
      <c r="C483" s="25"/>
      <c r="D483" s="25"/>
      <c r="E483" s="27"/>
      <c r="F483" s="27"/>
    </row>
    <row r="484" spans="1:6" ht="22.6" customHeight="1">
      <c r="A484" s="25"/>
      <c r="B484" s="26"/>
      <c r="C484" s="25"/>
      <c r="D484" s="25"/>
      <c r="E484" s="27"/>
      <c r="F484" s="27"/>
    </row>
    <row r="485" spans="1:6" ht="22.6" customHeight="1">
      <c r="A485" s="25"/>
      <c r="B485" s="26"/>
      <c r="C485" s="25"/>
      <c r="D485" s="25"/>
      <c r="E485" s="27"/>
      <c r="F485" s="27"/>
    </row>
    <row r="486" spans="1:6" ht="22.6" customHeight="1">
      <c r="A486" s="25"/>
      <c r="B486" s="26"/>
      <c r="C486" s="25"/>
      <c r="D486" s="25"/>
      <c r="E486" s="27"/>
      <c r="F486" s="27"/>
    </row>
    <row r="487" spans="1:6" ht="22.6" customHeight="1">
      <c r="A487" s="25"/>
      <c r="B487" s="26"/>
      <c r="C487" s="25"/>
      <c r="D487" s="25"/>
      <c r="E487" s="27"/>
      <c r="F487" s="27"/>
    </row>
    <row r="488" spans="1:6" ht="22.6" customHeight="1">
      <c r="A488" s="25"/>
      <c r="B488" s="26"/>
      <c r="C488" s="25"/>
      <c r="D488" s="25"/>
      <c r="E488" s="27"/>
      <c r="F488" s="27"/>
    </row>
    <row r="489" spans="1:6" ht="22.6" customHeight="1">
      <c r="A489" s="25"/>
      <c r="B489" s="26"/>
      <c r="C489" s="25"/>
      <c r="D489" s="25"/>
      <c r="E489" s="27"/>
      <c r="F489" s="27"/>
    </row>
    <row r="490" spans="1:6" ht="22.6" customHeight="1">
      <c r="A490" s="25"/>
      <c r="B490" s="26"/>
      <c r="C490" s="25"/>
      <c r="D490" s="25"/>
      <c r="E490" s="27"/>
      <c r="F490" s="27"/>
    </row>
    <row r="491" spans="1:6" ht="22.6" customHeight="1">
      <c r="A491" s="25"/>
      <c r="B491" s="26"/>
      <c r="C491" s="25"/>
      <c r="D491" s="25"/>
      <c r="E491" s="27"/>
      <c r="F491" s="27"/>
    </row>
    <row r="492" spans="1:6" ht="22.6" customHeight="1">
      <c r="A492" s="25"/>
      <c r="B492" s="26"/>
      <c r="C492" s="25"/>
      <c r="D492" s="25"/>
      <c r="E492" s="27"/>
      <c r="F492" s="27"/>
    </row>
    <row r="493" spans="1:6" ht="22.6" customHeight="1">
      <c r="A493" s="25"/>
      <c r="B493" s="26"/>
      <c r="C493" s="25"/>
      <c r="D493" s="25"/>
      <c r="E493" s="27"/>
      <c r="F493" s="27"/>
    </row>
    <row r="494" spans="1:6" ht="22.6" customHeight="1">
      <c r="A494" s="25"/>
      <c r="B494" s="26"/>
      <c r="C494" s="25"/>
      <c r="D494" s="25"/>
      <c r="E494" s="27"/>
      <c r="F494" s="27"/>
    </row>
    <row r="495" spans="1:6" ht="22.6" customHeight="1">
      <c r="A495" s="25"/>
      <c r="B495" s="26"/>
      <c r="C495" s="25"/>
      <c r="D495" s="25"/>
      <c r="E495" s="27"/>
      <c r="F495" s="27"/>
    </row>
    <row r="496" spans="1:6" ht="22.6" customHeight="1">
      <c r="A496" s="25"/>
      <c r="B496" s="26"/>
      <c r="C496" s="25"/>
      <c r="D496" s="25"/>
      <c r="E496" s="27"/>
      <c r="F496" s="27"/>
    </row>
    <row r="497" spans="1:6" ht="22.6" customHeight="1">
      <c r="A497" s="25"/>
      <c r="B497" s="26"/>
      <c r="C497" s="25"/>
      <c r="D497" s="25"/>
      <c r="E497" s="27"/>
      <c r="F497" s="27"/>
    </row>
    <row r="498" spans="1:6" ht="22.6" customHeight="1">
      <c r="A498" s="25"/>
      <c r="B498" s="26"/>
      <c r="C498" s="25"/>
      <c r="D498" s="25"/>
      <c r="E498" s="27"/>
      <c r="F498" s="27"/>
    </row>
    <row r="499" spans="1:6" ht="22.6" customHeight="1">
      <c r="A499" s="25"/>
      <c r="B499" s="26"/>
      <c r="C499" s="25"/>
      <c r="D499" s="25"/>
      <c r="E499" s="27"/>
      <c r="F499" s="27"/>
    </row>
    <row r="500" spans="1:6" ht="22.6" customHeight="1">
      <c r="A500" s="25"/>
      <c r="B500" s="26"/>
      <c r="C500" s="25"/>
      <c r="D500" s="25"/>
      <c r="E500" s="27"/>
      <c r="F500" s="27"/>
    </row>
    <row r="501" spans="1:6" ht="22.6" customHeight="1">
      <c r="A501" s="25"/>
      <c r="B501" s="26"/>
      <c r="C501" s="25"/>
      <c r="D501" s="25"/>
      <c r="E501" s="27"/>
      <c r="F501" s="27"/>
    </row>
    <row r="502" spans="1:6" ht="22.6" customHeight="1">
      <c r="A502" s="25"/>
      <c r="B502" s="26"/>
      <c r="C502" s="25"/>
      <c r="D502" s="25"/>
      <c r="E502" s="27"/>
      <c r="F502" s="27"/>
    </row>
    <row r="503" spans="1:6" ht="22.6" customHeight="1">
      <c r="A503" s="25"/>
      <c r="B503" s="26"/>
      <c r="C503" s="25"/>
      <c r="D503" s="25"/>
      <c r="E503" s="27"/>
      <c r="F503" s="27"/>
    </row>
    <row r="504" spans="1:6" ht="22.6" customHeight="1">
      <c r="A504" s="25"/>
      <c r="B504" s="26"/>
      <c r="C504" s="25"/>
      <c r="D504" s="25"/>
      <c r="E504" s="27"/>
      <c r="F504" s="27"/>
    </row>
    <row r="505" spans="1:6" ht="22.6" customHeight="1">
      <c r="A505" s="25"/>
      <c r="B505" s="26"/>
      <c r="C505" s="25"/>
      <c r="D505" s="25"/>
      <c r="E505" s="27"/>
      <c r="F505" s="27"/>
    </row>
    <row r="506" spans="1:6" ht="22.6" customHeight="1">
      <c r="A506" s="25"/>
      <c r="B506" s="26"/>
      <c r="C506" s="25"/>
      <c r="D506" s="25"/>
      <c r="E506" s="27"/>
      <c r="F506" s="27"/>
    </row>
    <row r="507" spans="1:6" ht="22.6" customHeight="1">
      <c r="A507" s="25"/>
      <c r="B507" s="26"/>
      <c r="C507" s="25"/>
      <c r="D507" s="25"/>
      <c r="E507" s="27"/>
      <c r="F507" s="27"/>
    </row>
    <row r="508" spans="1:6" ht="22.6" customHeight="1">
      <c r="A508" s="25"/>
      <c r="B508" s="26"/>
      <c r="C508" s="25"/>
      <c r="D508" s="25"/>
      <c r="E508" s="27"/>
      <c r="F508" s="27"/>
    </row>
    <row r="509" spans="1:6" ht="22.6" customHeight="1">
      <c r="A509" s="25"/>
      <c r="B509" s="26"/>
      <c r="C509" s="25"/>
      <c r="D509" s="25"/>
      <c r="E509" s="27"/>
      <c r="F509" s="27"/>
    </row>
    <row r="510" spans="1:6" ht="22.6" customHeight="1">
      <c r="A510" s="25"/>
      <c r="B510" s="26"/>
      <c r="C510" s="25"/>
      <c r="D510" s="25"/>
      <c r="E510" s="27"/>
      <c r="F510" s="27"/>
    </row>
    <row r="511" spans="1:6" ht="22.6" customHeight="1">
      <c r="A511" s="25"/>
      <c r="B511" s="26"/>
      <c r="C511" s="25"/>
      <c r="D511" s="25"/>
      <c r="E511" s="27"/>
      <c r="F511" s="27"/>
    </row>
    <row r="512" spans="1:6" ht="22.6" customHeight="1">
      <c r="A512" s="25"/>
      <c r="B512" s="26"/>
      <c r="C512" s="25"/>
      <c r="D512" s="25"/>
      <c r="E512" s="27"/>
      <c r="F512" s="27"/>
    </row>
    <row r="513" spans="1:6" ht="22.6" customHeight="1">
      <c r="A513" s="25"/>
      <c r="B513" s="26"/>
      <c r="C513" s="25"/>
      <c r="D513" s="25"/>
      <c r="E513" s="27"/>
      <c r="F513" s="27"/>
    </row>
    <row r="514" spans="1:6" ht="22.6" customHeight="1">
      <c r="A514" s="25"/>
      <c r="B514" s="26"/>
      <c r="C514" s="25"/>
      <c r="D514" s="25"/>
      <c r="E514" s="27"/>
      <c r="F514" s="27"/>
    </row>
    <row r="515" spans="1:6" ht="22.6" customHeight="1">
      <c r="A515" s="25"/>
      <c r="B515" s="26"/>
      <c r="C515" s="25"/>
      <c r="D515" s="25"/>
      <c r="E515" s="27"/>
      <c r="F515" s="27"/>
    </row>
    <row r="516" spans="1:6" ht="22.6" customHeight="1">
      <c r="A516" s="25"/>
      <c r="B516" s="26"/>
      <c r="C516" s="25"/>
      <c r="D516" s="25"/>
      <c r="E516" s="27"/>
      <c r="F516" s="27"/>
    </row>
    <row r="517" spans="1:6" ht="22.6" customHeight="1">
      <c r="A517" s="25"/>
      <c r="B517" s="26"/>
      <c r="C517" s="25"/>
      <c r="D517" s="25"/>
      <c r="E517" s="27"/>
      <c r="F517" s="27"/>
    </row>
    <row r="518" spans="1:6" ht="22.6" customHeight="1">
      <c r="A518" s="25"/>
      <c r="B518" s="26"/>
      <c r="C518" s="25"/>
      <c r="D518" s="25"/>
      <c r="E518" s="27"/>
      <c r="F518" s="27"/>
    </row>
    <row r="519" spans="1:6" ht="22.6" customHeight="1">
      <c r="A519" s="25"/>
      <c r="B519" s="26"/>
      <c r="C519" s="25"/>
      <c r="D519" s="25"/>
      <c r="E519" s="27"/>
      <c r="F519" s="27"/>
    </row>
    <row r="520" spans="1:6" ht="22.6" customHeight="1">
      <c r="A520" s="25"/>
      <c r="B520" s="26"/>
      <c r="C520" s="25"/>
      <c r="D520" s="25"/>
      <c r="E520" s="27"/>
      <c r="F520" s="27"/>
    </row>
    <row r="521" spans="1:6" ht="22.6" customHeight="1">
      <c r="A521" s="25"/>
      <c r="B521" s="26"/>
      <c r="C521" s="25"/>
      <c r="D521" s="25"/>
      <c r="E521" s="27"/>
      <c r="F521" s="27"/>
    </row>
    <row r="522" spans="1:6" ht="22.6" customHeight="1">
      <c r="A522" s="25"/>
      <c r="B522" s="26"/>
      <c r="C522" s="25"/>
      <c r="D522" s="25"/>
      <c r="E522" s="27"/>
      <c r="F522" s="27"/>
    </row>
    <row r="523" spans="1:6" ht="22.6" customHeight="1">
      <c r="A523" s="25"/>
      <c r="B523" s="26"/>
      <c r="C523" s="25"/>
      <c r="D523" s="25"/>
      <c r="E523" s="27"/>
      <c r="F523" s="27"/>
    </row>
    <row r="524" spans="1:6" ht="22.6" customHeight="1">
      <c r="A524" s="25"/>
      <c r="B524" s="26"/>
      <c r="C524" s="25"/>
      <c r="D524" s="25"/>
      <c r="E524" s="27"/>
      <c r="F524" s="27"/>
    </row>
    <row r="525" spans="1:6" ht="22.6" customHeight="1">
      <c r="A525" s="25"/>
      <c r="B525" s="26"/>
      <c r="C525" s="25"/>
      <c r="D525" s="25"/>
      <c r="E525" s="27"/>
      <c r="F525" s="27"/>
    </row>
    <row r="526" spans="1:6" ht="22.6" customHeight="1">
      <c r="A526" s="25"/>
      <c r="B526" s="26"/>
      <c r="C526" s="25"/>
      <c r="D526" s="25"/>
      <c r="E526" s="27"/>
      <c r="F526" s="27"/>
    </row>
    <row r="527" spans="1:6" ht="22.6" customHeight="1">
      <c r="A527" s="25"/>
      <c r="B527" s="26"/>
      <c r="C527" s="25"/>
      <c r="D527" s="25"/>
      <c r="E527" s="27"/>
      <c r="F527" s="27"/>
    </row>
    <row r="528" spans="1:6" ht="22.6" customHeight="1">
      <c r="A528" s="25"/>
      <c r="B528" s="26"/>
      <c r="C528" s="25"/>
      <c r="D528" s="25"/>
      <c r="E528" s="27"/>
      <c r="F528" s="27"/>
    </row>
    <row r="529" spans="1:6" ht="22.6" customHeight="1">
      <c r="A529" s="25"/>
      <c r="B529" s="26"/>
      <c r="C529" s="25"/>
      <c r="D529" s="25"/>
      <c r="E529" s="27"/>
      <c r="F529" s="27"/>
    </row>
    <row r="530" spans="1:6" ht="22.6" customHeight="1">
      <c r="A530" s="25"/>
      <c r="B530" s="26"/>
      <c r="C530" s="25"/>
      <c r="D530" s="25"/>
      <c r="E530" s="27"/>
      <c r="F530" s="27"/>
    </row>
    <row r="531" spans="1:6" ht="22.6" customHeight="1">
      <c r="A531" s="25"/>
      <c r="B531" s="26"/>
      <c r="C531" s="25"/>
      <c r="D531" s="25"/>
      <c r="E531" s="27"/>
      <c r="F531" s="27"/>
    </row>
    <row r="532" spans="1:6" ht="22.6" customHeight="1">
      <c r="A532" s="25"/>
      <c r="B532" s="26"/>
      <c r="C532" s="25"/>
      <c r="D532" s="25"/>
      <c r="E532" s="27"/>
      <c r="F532" s="27"/>
    </row>
    <row r="533" spans="1:6" ht="22.6" customHeight="1">
      <c r="A533" s="25"/>
      <c r="B533" s="26"/>
      <c r="C533" s="25"/>
      <c r="D533" s="25"/>
      <c r="E533" s="27"/>
      <c r="F533" s="27"/>
    </row>
    <row r="534" spans="1:6" ht="22.6" customHeight="1">
      <c r="A534" s="25"/>
      <c r="B534" s="26"/>
      <c r="C534" s="25"/>
      <c r="D534" s="25"/>
      <c r="E534" s="27"/>
      <c r="F534" s="27"/>
    </row>
    <row r="535" spans="1:6" ht="22.6" customHeight="1">
      <c r="A535" s="25"/>
      <c r="B535" s="26"/>
      <c r="C535" s="25"/>
      <c r="D535" s="25"/>
      <c r="E535" s="27"/>
      <c r="F535" s="27"/>
    </row>
    <row r="536" spans="1:6" ht="22.6" customHeight="1">
      <c r="A536" s="25"/>
      <c r="B536" s="26"/>
      <c r="C536" s="25"/>
      <c r="D536" s="25"/>
      <c r="E536" s="27"/>
      <c r="F536" s="27"/>
    </row>
    <row r="537" spans="1:6" ht="22.6" customHeight="1">
      <c r="A537" s="25"/>
      <c r="B537" s="26"/>
      <c r="C537" s="25"/>
      <c r="D537" s="25"/>
      <c r="E537" s="27"/>
      <c r="F537" s="27"/>
    </row>
    <row r="538" spans="1:6" ht="22.6" customHeight="1">
      <c r="A538" s="25"/>
      <c r="B538" s="26"/>
      <c r="C538" s="25"/>
      <c r="D538" s="25"/>
      <c r="E538" s="27"/>
      <c r="F538" s="27"/>
    </row>
    <row r="539" spans="1:6" ht="22.6" customHeight="1">
      <c r="A539" s="25"/>
      <c r="B539" s="26"/>
      <c r="C539" s="25"/>
      <c r="D539" s="25"/>
      <c r="E539" s="27"/>
      <c r="F539" s="27"/>
    </row>
    <row r="540" spans="1:6" ht="22.6" customHeight="1">
      <c r="A540" s="25"/>
      <c r="B540" s="26"/>
      <c r="C540" s="25"/>
      <c r="D540" s="25"/>
      <c r="E540" s="27"/>
      <c r="F540" s="27"/>
    </row>
    <row r="541" spans="1:6" ht="22.6" customHeight="1">
      <c r="A541" s="25"/>
      <c r="B541" s="26"/>
      <c r="C541" s="25"/>
      <c r="D541" s="25"/>
      <c r="E541" s="27"/>
      <c r="F541" s="27"/>
    </row>
    <row r="542" spans="1:6" ht="22.6" customHeight="1">
      <c r="A542" s="25"/>
      <c r="B542" s="26"/>
      <c r="C542" s="25"/>
      <c r="D542" s="25"/>
      <c r="E542" s="27"/>
      <c r="F542" s="27"/>
    </row>
    <row r="543" spans="1:6" ht="22.6" customHeight="1">
      <c r="A543" s="25"/>
      <c r="B543" s="26"/>
      <c r="C543" s="25"/>
      <c r="D543" s="25"/>
      <c r="E543" s="27"/>
      <c r="F543" s="27"/>
    </row>
    <row r="544" spans="1:6" ht="22.6" customHeight="1">
      <c r="A544" s="25"/>
      <c r="B544" s="26"/>
      <c r="C544" s="25"/>
      <c r="D544" s="25"/>
      <c r="E544" s="27"/>
      <c r="F544" s="27"/>
    </row>
    <row r="545" spans="1:6" ht="22.6" customHeight="1">
      <c r="A545" s="25"/>
      <c r="B545" s="26"/>
      <c r="C545" s="25"/>
      <c r="D545" s="25"/>
      <c r="E545" s="27"/>
      <c r="F545" s="27"/>
    </row>
    <row r="546" spans="1:6" ht="22.6" customHeight="1">
      <c r="A546" s="25"/>
      <c r="B546" s="26"/>
      <c r="C546" s="25"/>
      <c r="D546" s="25"/>
      <c r="E546" s="27"/>
      <c r="F546" s="27"/>
    </row>
    <row r="547" spans="1:6" ht="22.6" customHeight="1">
      <c r="A547" s="25"/>
      <c r="B547" s="26"/>
      <c r="C547" s="25"/>
      <c r="D547" s="25"/>
      <c r="E547" s="27"/>
      <c r="F547" s="27"/>
    </row>
    <row r="548" spans="1:6" ht="22.6" customHeight="1">
      <c r="A548" s="25"/>
      <c r="B548" s="26"/>
      <c r="C548" s="25"/>
      <c r="D548" s="25"/>
      <c r="E548" s="27"/>
      <c r="F548" s="27"/>
    </row>
    <row r="549" spans="1:6" ht="22.6" customHeight="1">
      <c r="A549" s="25"/>
      <c r="B549" s="26"/>
      <c r="C549" s="25"/>
      <c r="D549" s="25"/>
      <c r="E549" s="27"/>
      <c r="F549" s="27"/>
    </row>
    <row r="550" spans="1:6" ht="22.6" customHeight="1">
      <c r="A550" s="25"/>
      <c r="B550" s="26"/>
      <c r="C550" s="25"/>
      <c r="D550" s="25"/>
      <c r="E550" s="27"/>
      <c r="F550" s="27"/>
    </row>
    <row r="551" spans="1:6" ht="22.6" customHeight="1">
      <c r="A551" s="25"/>
      <c r="B551" s="26"/>
      <c r="C551" s="25"/>
      <c r="D551" s="25"/>
      <c r="E551" s="27"/>
      <c r="F551" s="27"/>
    </row>
    <row r="552" spans="1:6" ht="22.6" customHeight="1">
      <c r="A552" s="25"/>
      <c r="B552" s="26"/>
      <c r="C552" s="25"/>
      <c r="D552" s="25"/>
      <c r="E552" s="27"/>
      <c r="F552" s="27"/>
    </row>
    <row r="553" spans="1:6" ht="22.6" customHeight="1">
      <c r="A553" s="25"/>
      <c r="B553" s="26"/>
      <c r="C553" s="25"/>
      <c r="D553" s="25"/>
      <c r="E553" s="27"/>
      <c r="F553" s="27"/>
    </row>
    <row r="554" spans="1:6" ht="22.6" customHeight="1">
      <c r="A554" s="25"/>
      <c r="B554" s="26"/>
      <c r="C554" s="25"/>
      <c r="D554" s="25"/>
      <c r="E554" s="27"/>
      <c r="F554" s="27"/>
    </row>
    <row r="555" spans="1:6" ht="22.6" customHeight="1">
      <c r="A555" s="25"/>
      <c r="B555" s="26"/>
      <c r="C555" s="25"/>
      <c r="D555" s="25"/>
      <c r="E555" s="27"/>
      <c r="F555" s="27"/>
    </row>
    <row r="556" spans="1:6" ht="22.6" customHeight="1">
      <c r="A556" s="25"/>
      <c r="B556" s="26"/>
      <c r="C556" s="25"/>
      <c r="D556" s="25"/>
      <c r="E556" s="27"/>
      <c r="F556" s="27"/>
    </row>
    <row r="557" spans="1:6" ht="22.6" customHeight="1">
      <c r="A557" s="25"/>
      <c r="B557" s="26"/>
      <c r="C557" s="25"/>
      <c r="D557" s="25"/>
      <c r="E557" s="27"/>
      <c r="F557" s="27"/>
    </row>
    <row r="558" spans="1:6" ht="22.6" customHeight="1">
      <c r="A558" s="25"/>
      <c r="B558" s="26"/>
      <c r="C558" s="25"/>
      <c r="D558" s="25"/>
      <c r="E558" s="27"/>
      <c r="F558" s="27"/>
    </row>
    <row r="559" spans="1:6" ht="22.6" customHeight="1">
      <c r="A559" s="25"/>
      <c r="B559" s="26"/>
      <c r="C559" s="25"/>
      <c r="D559" s="25"/>
      <c r="E559" s="27"/>
      <c r="F559" s="27"/>
    </row>
    <row r="560" spans="1:6" ht="22.6" customHeight="1">
      <c r="A560" s="25"/>
      <c r="B560" s="26"/>
      <c r="C560" s="25"/>
      <c r="D560" s="25"/>
      <c r="E560" s="27"/>
      <c r="F560" s="27"/>
    </row>
    <row r="561" spans="1:6" ht="22.6" customHeight="1">
      <c r="A561" s="25"/>
      <c r="B561" s="26"/>
      <c r="C561" s="25"/>
      <c r="D561" s="25"/>
      <c r="E561" s="27"/>
      <c r="F561" s="27"/>
    </row>
    <row r="562" spans="1:6" ht="22.6" customHeight="1">
      <c r="A562" s="25"/>
      <c r="B562" s="26"/>
      <c r="C562" s="25"/>
      <c r="D562" s="25"/>
      <c r="E562" s="27"/>
      <c r="F562" s="27"/>
    </row>
    <row r="563" spans="1:6" ht="22.6" customHeight="1">
      <c r="A563" s="25"/>
      <c r="B563" s="26"/>
      <c r="C563" s="25"/>
      <c r="D563" s="25"/>
      <c r="E563" s="27"/>
      <c r="F563" s="27"/>
    </row>
    <row r="564" spans="1:6" ht="22.6" customHeight="1">
      <c r="A564" s="25"/>
      <c r="B564" s="26"/>
      <c r="C564" s="25"/>
      <c r="D564" s="25"/>
      <c r="E564" s="27"/>
      <c r="F564" s="27"/>
    </row>
    <row r="565" spans="1:6" ht="22.6" customHeight="1">
      <c r="A565" s="25"/>
      <c r="B565" s="26"/>
      <c r="C565" s="25"/>
      <c r="D565" s="25"/>
      <c r="E565" s="27"/>
      <c r="F565" s="27"/>
    </row>
    <row r="566" spans="1:6" ht="22.6" customHeight="1">
      <c r="A566" s="25"/>
      <c r="B566" s="26"/>
      <c r="C566" s="25"/>
      <c r="D566" s="25"/>
      <c r="E566" s="27"/>
      <c r="F566" s="27"/>
    </row>
    <row r="567" spans="1:6" ht="22.6" customHeight="1">
      <c r="A567" s="25"/>
      <c r="B567" s="26"/>
      <c r="C567" s="25"/>
      <c r="D567" s="25"/>
      <c r="E567" s="27"/>
      <c r="F567" s="27"/>
    </row>
    <row r="568" spans="1:6" ht="22.6" customHeight="1">
      <c r="A568" s="25"/>
      <c r="B568" s="26"/>
      <c r="C568" s="25"/>
      <c r="D568" s="25"/>
      <c r="E568" s="27"/>
      <c r="F568" s="27"/>
    </row>
    <row r="569" spans="1:6" ht="22.6" customHeight="1">
      <c r="A569" s="25"/>
      <c r="B569" s="26"/>
      <c r="C569" s="25"/>
      <c r="D569" s="25"/>
      <c r="E569" s="27"/>
      <c r="F569" s="27"/>
    </row>
    <row r="570" spans="1:6" ht="22.6" customHeight="1">
      <c r="A570" s="25"/>
      <c r="B570" s="26"/>
      <c r="C570" s="25"/>
      <c r="D570" s="25"/>
      <c r="E570" s="27"/>
      <c r="F570" s="27"/>
    </row>
    <row r="571" spans="1:6" ht="22.6" customHeight="1">
      <c r="A571" s="25"/>
      <c r="B571" s="26"/>
      <c r="C571" s="25"/>
      <c r="D571" s="25"/>
      <c r="E571" s="27"/>
      <c r="F571" s="27"/>
    </row>
    <row r="572" spans="1:6" ht="22.6" customHeight="1">
      <c r="A572" s="25"/>
      <c r="B572" s="26"/>
      <c r="C572" s="25"/>
      <c r="D572" s="25"/>
      <c r="E572" s="27"/>
      <c r="F572" s="27"/>
    </row>
    <row r="573" spans="1:6" ht="22.6" customHeight="1">
      <c r="A573" s="25"/>
      <c r="B573" s="26"/>
      <c r="C573" s="25"/>
      <c r="D573" s="25"/>
      <c r="E573" s="27"/>
      <c r="F573" s="27"/>
    </row>
    <row r="574" spans="1:6" ht="22.6" customHeight="1">
      <c r="A574" s="25"/>
      <c r="B574" s="26"/>
      <c r="C574" s="25"/>
      <c r="D574" s="25"/>
      <c r="E574" s="27"/>
      <c r="F574" s="27"/>
    </row>
    <row r="575" spans="1:6" ht="22.6" customHeight="1">
      <c r="A575" s="25"/>
      <c r="B575" s="26"/>
      <c r="C575" s="25"/>
      <c r="D575" s="25"/>
      <c r="E575" s="27"/>
      <c r="F575" s="27"/>
    </row>
    <row r="576" spans="1:6" ht="22.6" customHeight="1">
      <c r="A576" s="25"/>
      <c r="B576" s="26"/>
      <c r="C576" s="25"/>
      <c r="D576" s="25"/>
      <c r="E576" s="27"/>
      <c r="F576" s="27"/>
    </row>
    <row r="577" spans="1:6" ht="22.6" customHeight="1">
      <c r="A577" s="25"/>
      <c r="B577" s="26"/>
      <c r="C577" s="25"/>
      <c r="D577" s="25"/>
      <c r="E577" s="27"/>
      <c r="F577" s="27"/>
    </row>
    <row r="578" spans="1:6" ht="22.6" customHeight="1">
      <c r="A578" s="25"/>
      <c r="B578" s="26"/>
      <c r="C578" s="25"/>
      <c r="D578" s="25"/>
      <c r="E578" s="27"/>
      <c r="F578" s="27"/>
    </row>
    <row r="579" spans="1:6" ht="22.6" customHeight="1">
      <c r="A579" s="25"/>
      <c r="B579" s="26"/>
      <c r="C579" s="25"/>
      <c r="D579" s="25"/>
      <c r="E579" s="27"/>
      <c r="F579" s="27"/>
    </row>
    <row r="580" spans="1:6" ht="22.6" customHeight="1">
      <c r="A580" s="25"/>
      <c r="B580" s="26"/>
      <c r="C580" s="25"/>
      <c r="D580" s="25"/>
      <c r="E580" s="27"/>
      <c r="F580" s="27"/>
    </row>
    <row r="581" spans="1:6" ht="22.6" customHeight="1">
      <c r="A581" s="25"/>
      <c r="B581" s="26"/>
      <c r="C581" s="25"/>
      <c r="D581" s="25"/>
      <c r="E581" s="27"/>
      <c r="F581" s="27"/>
    </row>
    <row r="582" spans="1:6" ht="22.6" customHeight="1">
      <c r="A582" s="25"/>
      <c r="B582" s="26"/>
      <c r="C582" s="25"/>
      <c r="D582" s="25"/>
      <c r="E582" s="27"/>
      <c r="F582" s="27"/>
    </row>
    <row r="583" spans="1:6" ht="22.6" customHeight="1">
      <c r="A583" s="25"/>
      <c r="B583" s="26"/>
      <c r="C583" s="25"/>
      <c r="D583" s="25"/>
      <c r="E583" s="27"/>
      <c r="F583" s="27"/>
    </row>
    <row r="584" spans="1:6" ht="22.6" customHeight="1">
      <c r="A584" s="25"/>
      <c r="B584" s="26"/>
      <c r="C584" s="25"/>
      <c r="D584" s="25"/>
      <c r="E584" s="27"/>
      <c r="F584" s="27"/>
    </row>
    <row r="585" spans="1:6" ht="22.6" customHeight="1">
      <c r="A585" s="25"/>
      <c r="B585" s="26"/>
      <c r="C585" s="25"/>
      <c r="D585" s="25"/>
      <c r="E585" s="27"/>
      <c r="F585" s="27"/>
    </row>
    <row r="586" spans="1:6" ht="22.6" customHeight="1">
      <c r="A586" s="25"/>
      <c r="B586" s="26"/>
      <c r="C586" s="25"/>
      <c r="D586" s="25"/>
      <c r="E586" s="27"/>
      <c r="F586" s="27"/>
    </row>
    <row r="587" spans="1:6" ht="22.6" customHeight="1">
      <c r="A587" s="25"/>
      <c r="B587" s="26"/>
      <c r="C587" s="25"/>
      <c r="D587" s="25"/>
      <c r="E587" s="27"/>
      <c r="F587" s="27"/>
    </row>
    <row r="588" spans="1:6" ht="22.6" customHeight="1">
      <c r="A588" s="25"/>
      <c r="B588" s="26"/>
      <c r="C588" s="25"/>
      <c r="D588" s="25"/>
      <c r="E588" s="27"/>
      <c r="F588" s="27"/>
    </row>
    <row r="589" spans="1:6" ht="22.6" customHeight="1">
      <c r="A589" s="25"/>
      <c r="B589" s="26"/>
      <c r="C589" s="25"/>
      <c r="D589" s="25"/>
      <c r="E589" s="27"/>
      <c r="F589" s="27"/>
    </row>
    <row r="590" spans="1:6" ht="22.6" customHeight="1">
      <c r="A590" s="25"/>
      <c r="B590" s="26"/>
      <c r="C590" s="25"/>
      <c r="D590" s="25"/>
      <c r="E590" s="27"/>
      <c r="F590" s="27"/>
    </row>
    <row r="591" spans="1:6" ht="22.6" customHeight="1">
      <c r="A591" s="25"/>
      <c r="B591" s="26"/>
      <c r="C591" s="25"/>
      <c r="D591" s="25"/>
      <c r="E591" s="27"/>
      <c r="F591" s="27"/>
    </row>
    <row r="592" spans="1:6" ht="22.6" customHeight="1">
      <c r="A592" s="25"/>
      <c r="B592" s="26"/>
      <c r="C592" s="25"/>
      <c r="D592" s="25"/>
      <c r="E592" s="27"/>
      <c r="F592" s="27"/>
    </row>
    <row r="593" spans="1:6" ht="22.6" customHeight="1">
      <c r="A593" s="25"/>
      <c r="B593" s="26"/>
      <c r="C593" s="25"/>
      <c r="D593" s="25"/>
      <c r="E593" s="27"/>
      <c r="F593" s="27"/>
    </row>
    <row r="594" spans="1:6" ht="22.6" customHeight="1">
      <c r="A594" s="25"/>
      <c r="B594" s="26"/>
      <c r="C594" s="25"/>
      <c r="D594" s="25"/>
      <c r="E594" s="27"/>
      <c r="F594" s="27"/>
    </row>
    <row r="595" spans="1:6" ht="22.6" customHeight="1">
      <c r="A595" s="25"/>
      <c r="B595" s="26"/>
      <c r="C595" s="25"/>
      <c r="D595" s="25"/>
      <c r="E595" s="27"/>
      <c r="F595" s="27"/>
    </row>
    <row r="596" spans="1:6" ht="22.6" customHeight="1">
      <c r="A596" s="25"/>
      <c r="B596" s="26"/>
      <c r="C596" s="25"/>
      <c r="D596" s="25"/>
      <c r="E596" s="27"/>
      <c r="F596" s="27"/>
    </row>
    <row r="597" spans="1:6" ht="22.6" customHeight="1">
      <c r="A597" s="25"/>
      <c r="B597" s="26"/>
      <c r="C597" s="25"/>
      <c r="D597" s="25"/>
      <c r="E597" s="27"/>
      <c r="F597" s="27"/>
    </row>
    <row r="598" spans="1:6" ht="22.6" customHeight="1">
      <c r="A598" s="25"/>
      <c r="B598" s="26"/>
      <c r="C598" s="25"/>
      <c r="D598" s="25"/>
      <c r="E598" s="27"/>
      <c r="F598" s="27"/>
    </row>
    <row r="599" spans="1:6" ht="22.6" customHeight="1">
      <c r="A599" s="25"/>
      <c r="B599" s="26"/>
      <c r="C599" s="25"/>
      <c r="D599" s="25"/>
      <c r="E599" s="27"/>
      <c r="F599" s="27"/>
    </row>
    <row r="600" spans="1:6" ht="22.6" customHeight="1">
      <c r="A600" s="25"/>
      <c r="B600" s="26"/>
      <c r="C600" s="25"/>
      <c r="D600" s="25"/>
      <c r="E600" s="27"/>
      <c r="F600" s="27"/>
    </row>
    <row r="601" spans="1:6" ht="22.6" customHeight="1">
      <c r="A601" s="25"/>
      <c r="B601" s="26"/>
      <c r="C601" s="25"/>
      <c r="D601" s="25"/>
      <c r="E601" s="27"/>
      <c r="F601" s="27"/>
    </row>
    <row r="602" spans="1:6" ht="22.6" customHeight="1">
      <c r="A602" s="25"/>
      <c r="B602" s="26"/>
      <c r="C602" s="25"/>
      <c r="D602" s="25"/>
      <c r="E602" s="27"/>
      <c r="F602" s="27"/>
    </row>
    <row r="603" spans="1:6" ht="22.6" customHeight="1">
      <c r="A603" s="25"/>
      <c r="B603" s="26"/>
      <c r="C603" s="25"/>
      <c r="D603" s="25"/>
      <c r="E603" s="27"/>
      <c r="F603" s="27"/>
    </row>
    <row r="604" spans="1:6" ht="22.6" customHeight="1">
      <c r="A604" s="25"/>
      <c r="B604" s="26"/>
      <c r="C604" s="25"/>
      <c r="D604" s="25"/>
      <c r="E604" s="27"/>
      <c r="F604" s="27"/>
    </row>
    <row r="605" spans="1:6" ht="22.6" customHeight="1">
      <c r="A605" s="25"/>
      <c r="B605" s="26"/>
      <c r="C605" s="25"/>
      <c r="D605" s="25"/>
      <c r="E605" s="27"/>
      <c r="F605" s="27"/>
    </row>
    <row r="606" spans="1:6" ht="22.6" customHeight="1">
      <c r="A606" s="25"/>
      <c r="B606" s="26"/>
      <c r="C606" s="25"/>
      <c r="D606" s="25"/>
      <c r="E606" s="27"/>
      <c r="F606" s="27"/>
    </row>
    <row r="607" spans="1:6" ht="22.6" customHeight="1">
      <c r="A607" s="25"/>
      <c r="B607" s="26"/>
      <c r="C607" s="25"/>
      <c r="D607" s="25"/>
      <c r="E607" s="27"/>
      <c r="F607" s="27"/>
    </row>
    <row r="608" spans="1:6" ht="22.6" customHeight="1">
      <c r="A608" s="25"/>
      <c r="B608" s="26"/>
      <c r="C608" s="25"/>
      <c r="D608" s="25"/>
      <c r="E608" s="27"/>
      <c r="F608" s="27"/>
    </row>
    <row r="609" spans="1:6" ht="22.6" customHeight="1">
      <c r="A609" s="25"/>
      <c r="B609" s="26"/>
      <c r="C609" s="25"/>
      <c r="D609" s="25"/>
      <c r="E609" s="27"/>
      <c r="F609" s="27"/>
    </row>
    <row r="610" spans="1:6" ht="22.6" customHeight="1">
      <c r="A610" s="25"/>
      <c r="B610" s="26"/>
      <c r="C610" s="25"/>
      <c r="D610" s="25"/>
      <c r="E610" s="27"/>
      <c r="F610" s="27"/>
    </row>
    <row r="611" spans="1:6" ht="22.6" customHeight="1">
      <c r="A611" s="25"/>
      <c r="B611" s="26"/>
      <c r="C611" s="25"/>
      <c r="D611" s="25"/>
      <c r="E611" s="27"/>
      <c r="F611" s="27"/>
    </row>
    <row r="612" spans="1:6" ht="22.6" customHeight="1">
      <c r="A612" s="25"/>
      <c r="B612" s="26"/>
      <c r="C612" s="25"/>
      <c r="D612" s="25"/>
      <c r="E612" s="27"/>
      <c r="F612" s="27"/>
    </row>
    <row r="613" spans="1:6" ht="22.6" customHeight="1">
      <c r="A613" s="25"/>
      <c r="B613" s="26"/>
      <c r="C613" s="25"/>
      <c r="D613" s="25"/>
      <c r="E613" s="27"/>
      <c r="F613" s="27"/>
    </row>
    <row r="614" spans="1:6" ht="22.6" customHeight="1">
      <c r="A614" s="25"/>
      <c r="B614" s="26"/>
      <c r="C614" s="25"/>
      <c r="D614" s="25"/>
      <c r="E614" s="27"/>
      <c r="F614" s="27"/>
    </row>
    <row r="615" spans="1:6" ht="22.6" customHeight="1">
      <c r="A615" s="25"/>
      <c r="B615" s="26"/>
      <c r="C615" s="25"/>
      <c r="D615" s="25"/>
      <c r="E615" s="27"/>
      <c r="F615" s="27"/>
    </row>
    <row r="616" spans="1:6" ht="22.6" customHeight="1">
      <c r="A616" s="25"/>
      <c r="B616" s="26"/>
      <c r="C616" s="25"/>
      <c r="D616" s="25"/>
      <c r="E616" s="27"/>
      <c r="F616" s="27"/>
    </row>
    <row r="617" spans="1:6" ht="22.6" customHeight="1">
      <c r="A617" s="25"/>
      <c r="B617" s="26"/>
      <c r="C617" s="25"/>
      <c r="D617" s="25"/>
      <c r="E617" s="27"/>
      <c r="F617" s="27"/>
    </row>
    <row r="618" spans="1:6" ht="22.6" customHeight="1">
      <c r="A618" s="25"/>
      <c r="B618" s="26"/>
      <c r="C618" s="25"/>
      <c r="D618" s="25"/>
      <c r="E618" s="27"/>
      <c r="F618" s="27"/>
    </row>
    <row r="619" spans="1:6" ht="22.6" customHeight="1">
      <c r="A619" s="25"/>
      <c r="B619" s="26"/>
      <c r="C619" s="25"/>
      <c r="D619" s="25"/>
      <c r="E619" s="27"/>
      <c r="F619" s="27"/>
    </row>
    <row r="620" spans="1:6" ht="22.6" customHeight="1">
      <c r="A620" s="25"/>
      <c r="B620" s="26"/>
      <c r="C620" s="25"/>
      <c r="D620" s="25"/>
      <c r="E620" s="27"/>
      <c r="F620" s="27"/>
    </row>
    <row r="621" spans="1:6" ht="22.6" customHeight="1">
      <c r="A621" s="25"/>
      <c r="B621" s="26"/>
      <c r="C621" s="25"/>
      <c r="D621" s="25"/>
      <c r="E621" s="27"/>
      <c r="F621" s="27"/>
    </row>
    <row r="622" spans="1:6" ht="22.6" customHeight="1">
      <c r="A622" s="25"/>
      <c r="B622" s="26"/>
      <c r="C622" s="25"/>
      <c r="D622" s="25"/>
      <c r="E622" s="27"/>
      <c r="F622" s="27"/>
    </row>
    <row r="623" spans="1:6" ht="22.6" customHeight="1">
      <c r="A623" s="25"/>
      <c r="B623" s="26"/>
      <c r="C623" s="25"/>
      <c r="D623" s="25"/>
      <c r="E623" s="27"/>
      <c r="F623" s="27"/>
    </row>
    <row r="624" spans="1:6" ht="22.6" customHeight="1">
      <c r="A624" s="25"/>
      <c r="B624" s="26"/>
      <c r="C624" s="25"/>
      <c r="D624" s="25"/>
      <c r="E624" s="27"/>
      <c r="F624" s="27"/>
    </row>
    <row r="625" spans="1:6" ht="22.6" customHeight="1">
      <c r="A625" s="25"/>
      <c r="B625" s="26"/>
      <c r="C625" s="25"/>
      <c r="D625" s="25"/>
      <c r="E625" s="27"/>
      <c r="F625" s="27"/>
    </row>
    <row r="626" spans="1:6" ht="22.6" customHeight="1">
      <c r="A626" s="25"/>
      <c r="B626" s="26"/>
      <c r="C626" s="25"/>
      <c r="D626" s="25"/>
      <c r="E626" s="27"/>
      <c r="F626" s="27"/>
    </row>
    <row r="627" spans="1:6" ht="22.6" customHeight="1">
      <c r="A627" s="25"/>
      <c r="B627" s="26"/>
      <c r="C627" s="25"/>
      <c r="D627" s="25"/>
      <c r="E627" s="27"/>
      <c r="F627" s="27"/>
    </row>
    <row r="628" spans="1:6" ht="22.6" customHeight="1">
      <c r="A628" s="25"/>
      <c r="B628" s="26"/>
      <c r="C628" s="25"/>
      <c r="D628" s="25"/>
      <c r="E628" s="27"/>
      <c r="F628" s="27"/>
    </row>
    <row r="629" spans="1:6" ht="22.6" customHeight="1">
      <c r="A629" s="25"/>
      <c r="B629" s="26"/>
      <c r="C629" s="25"/>
      <c r="D629" s="25"/>
      <c r="E629" s="27"/>
      <c r="F629" s="27"/>
    </row>
    <row r="630" spans="1:6" ht="22.6" customHeight="1">
      <c r="A630" s="25"/>
      <c r="B630" s="26"/>
      <c r="C630" s="25"/>
      <c r="D630" s="25"/>
      <c r="E630" s="27"/>
      <c r="F630" s="27"/>
    </row>
    <row r="631" spans="1:6" ht="22.6" customHeight="1">
      <c r="A631" s="25"/>
      <c r="B631" s="26"/>
      <c r="C631" s="25"/>
      <c r="D631" s="25"/>
      <c r="E631" s="27"/>
      <c r="F631" s="27"/>
    </row>
    <row r="632" spans="1:6" ht="22.6" customHeight="1">
      <c r="A632" s="25"/>
      <c r="B632" s="26"/>
      <c r="C632" s="25"/>
      <c r="D632" s="25"/>
      <c r="E632" s="27"/>
      <c r="F632" s="27"/>
    </row>
    <row r="633" spans="1:6" ht="22.6" customHeight="1">
      <c r="A633" s="25"/>
      <c r="B633" s="26"/>
      <c r="C633" s="25"/>
      <c r="D633" s="25"/>
      <c r="E633" s="27"/>
      <c r="F633" s="27"/>
    </row>
    <row r="634" spans="1:6" ht="22.6" customHeight="1">
      <c r="A634" s="25"/>
      <c r="B634" s="26"/>
      <c r="C634" s="25"/>
      <c r="D634" s="25"/>
      <c r="E634" s="27"/>
      <c r="F634" s="27"/>
    </row>
    <row r="635" spans="1:6" ht="22.6" customHeight="1">
      <c r="A635" s="25"/>
      <c r="B635" s="26"/>
      <c r="C635" s="25"/>
      <c r="D635" s="25"/>
      <c r="E635" s="27"/>
      <c r="F635" s="27"/>
    </row>
    <row r="636" spans="1:6" ht="22.6" customHeight="1">
      <c r="A636" s="25"/>
      <c r="B636" s="26"/>
      <c r="C636" s="25"/>
      <c r="D636" s="25"/>
      <c r="E636" s="27"/>
      <c r="F636" s="27"/>
    </row>
    <row r="637" spans="1:6" ht="22.6" customHeight="1">
      <c r="A637" s="25"/>
      <c r="B637" s="26"/>
      <c r="C637" s="25"/>
      <c r="D637" s="25"/>
      <c r="E637" s="27"/>
      <c r="F637" s="27"/>
    </row>
    <row r="638" spans="1:6" ht="22.6" customHeight="1">
      <c r="A638" s="25"/>
      <c r="B638" s="26"/>
      <c r="C638" s="25"/>
      <c r="D638" s="25"/>
      <c r="E638" s="27"/>
      <c r="F638" s="27"/>
    </row>
    <row r="639" spans="1:6" ht="22.6" customHeight="1">
      <c r="A639" s="25"/>
      <c r="B639" s="26"/>
      <c r="C639" s="25"/>
      <c r="D639" s="25"/>
      <c r="E639" s="27"/>
      <c r="F639" s="27"/>
    </row>
    <row r="640" spans="1:6" ht="22.6" customHeight="1">
      <c r="A640" s="25"/>
      <c r="B640" s="26"/>
      <c r="C640" s="25"/>
      <c r="D640" s="25"/>
      <c r="E640" s="27"/>
      <c r="F640" s="27"/>
    </row>
    <row r="641" spans="1:6" ht="22.6" customHeight="1">
      <c r="A641" s="25"/>
      <c r="B641" s="26"/>
      <c r="C641" s="25"/>
      <c r="D641" s="25"/>
      <c r="E641" s="27"/>
      <c r="F641" s="27"/>
    </row>
    <row r="642" spans="1:6" ht="22.6" customHeight="1">
      <c r="A642" s="25"/>
      <c r="B642" s="26"/>
      <c r="C642" s="25"/>
      <c r="D642" s="25"/>
      <c r="E642" s="27"/>
      <c r="F642" s="27"/>
    </row>
    <row r="643" spans="1:6" ht="22.6" customHeight="1">
      <c r="A643" s="25"/>
      <c r="B643" s="26"/>
      <c r="C643" s="25"/>
      <c r="D643" s="25"/>
      <c r="E643" s="27"/>
      <c r="F643" s="27"/>
    </row>
    <row r="644" spans="1:6" ht="22.6" customHeight="1">
      <c r="A644" s="25"/>
      <c r="B644" s="26"/>
      <c r="C644" s="25"/>
      <c r="D644" s="25"/>
      <c r="E644" s="27"/>
      <c r="F644" s="27"/>
    </row>
    <row r="645" spans="1:6" ht="22.6" customHeight="1">
      <c r="A645" s="25"/>
      <c r="B645" s="26"/>
      <c r="C645" s="25"/>
      <c r="D645" s="25"/>
      <c r="E645" s="27"/>
      <c r="F645" s="27"/>
    </row>
    <row r="646" spans="1:6" ht="22.6" customHeight="1">
      <c r="A646" s="25"/>
      <c r="B646" s="26"/>
      <c r="C646" s="25"/>
      <c r="D646" s="25"/>
      <c r="E646" s="27"/>
      <c r="F646" s="27"/>
    </row>
    <row r="647" spans="1:6" ht="22.6" customHeight="1">
      <c r="A647" s="25"/>
      <c r="B647" s="26"/>
      <c r="C647" s="25"/>
      <c r="D647" s="25"/>
      <c r="E647" s="27"/>
      <c r="F647" s="27"/>
    </row>
    <row r="648" spans="1:6" ht="22.6" customHeight="1">
      <c r="A648" s="25"/>
      <c r="B648" s="26"/>
      <c r="C648" s="25"/>
      <c r="D648" s="25"/>
      <c r="E648" s="27"/>
      <c r="F648" s="27"/>
    </row>
    <row r="649" spans="1:6" ht="22.6" customHeight="1">
      <c r="A649" s="25"/>
      <c r="B649" s="26"/>
      <c r="C649" s="25"/>
      <c r="D649" s="25"/>
      <c r="E649" s="27"/>
      <c r="F649" s="27"/>
    </row>
    <row r="650" spans="1:6" ht="22.6" customHeight="1">
      <c r="A650" s="25"/>
      <c r="B650" s="26"/>
      <c r="C650" s="25"/>
      <c r="D650" s="25"/>
      <c r="E650" s="27"/>
      <c r="F650" s="27"/>
    </row>
    <row r="651" spans="1:6" ht="22.6" customHeight="1">
      <c r="A651" s="25"/>
      <c r="B651" s="26"/>
      <c r="C651" s="25"/>
      <c r="D651" s="25"/>
      <c r="E651" s="27"/>
      <c r="F651" s="27"/>
    </row>
    <row r="652" spans="1:6" ht="22.6" customHeight="1">
      <c r="A652" s="25"/>
      <c r="B652" s="26"/>
      <c r="C652" s="25"/>
      <c r="D652" s="25"/>
      <c r="E652" s="27"/>
      <c r="F652" s="27"/>
    </row>
    <row r="653" spans="1:6" ht="22.6" customHeight="1">
      <c r="A653" s="25"/>
      <c r="B653" s="26"/>
      <c r="C653" s="25"/>
      <c r="D653" s="25"/>
      <c r="E653" s="27"/>
      <c r="F653" s="27"/>
    </row>
    <row r="654" spans="1:6" ht="22.6" customHeight="1">
      <c r="A654" s="25"/>
      <c r="B654" s="26"/>
      <c r="C654" s="25"/>
      <c r="D654" s="25"/>
      <c r="E654" s="27"/>
      <c r="F654" s="27"/>
    </row>
    <row r="655" spans="1:6" ht="22.6" customHeight="1">
      <c r="A655" s="25"/>
      <c r="B655" s="26"/>
      <c r="C655" s="25"/>
      <c r="D655" s="25"/>
      <c r="E655" s="27"/>
      <c r="F655" s="27"/>
    </row>
    <row r="656" spans="1:6" ht="22.6" customHeight="1">
      <c r="A656" s="25"/>
      <c r="B656" s="26"/>
      <c r="C656" s="25"/>
      <c r="D656" s="25"/>
      <c r="E656" s="27"/>
      <c r="F656" s="27"/>
    </row>
    <row r="657" spans="1:6" ht="22.6" customHeight="1">
      <c r="A657" s="25"/>
      <c r="B657" s="26"/>
      <c r="C657" s="25"/>
      <c r="D657" s="25"/>
      <c r="E657" s="27"/>
      <c r="F657" s="27"/>
    </row>
    <row r="658" spans="1:6" ht="22.6" customHeight="1">
      <c r="A658" s="25"/>
      <c r="B658" s="26"/>
      <c r="C658" s="25"/>
      <c r="D658" s="25"/>
      <c r="E658" s="27"/>
      <c r="F658" s="27"/>
    </row>
    <row r="659" spans="1:6" ht="22.6" customHeight="1">
      <c r="A659" s="25"/>
      <c r="B659" s="26"/>
      <c r="C659" s="25"/>
      <c r="D659" s="25"/>
      <c r="E659" s="27"/>
      <c r="F659" s="27"/>
    </row>
    <row r="660" spans="1:6" ht="22.6" customHeight="1">
      <c r="A660" s="25"/>
      <c r="B660" s="26"/>
      <c r="C660" s="25"/>
      <c r="D660" s="25"/>
      <c r="E660" s="27"/>
      <c r="F660" s="27"/>
    </row>
    <row r="661" spans="1:6" ht="22.6" customHeight="1">
      <c r="A661" s="25"/>
      <c r="B661" s="26"/>
      <c r="C661" s="25"/>
      <c r="D661" s="25"/>
      <c r="E661" s="27"/>
      <c r="F661" s="27"/>
    </row>
    <row r="662" spans="1:6" ht="22.6" customHeight="1">
      <c r="A662" s="25"/>
      <c r="B662" s="26"/>
      <c r="C662" s="25"/>
      <c r="D662" s="25"/>
      <c r="E662" s="27"/>
      <c r="F662" s="27"/>
    </row>
    <row r="663" spans="1:6" ht="22.6" customHeight="1">
      <c r="A663" s="25"/>
      <c r="B663" s="26"/>
      <c r="C663" s="25"/>
      <c r="D663" s="25"/>
      <c r="E663" s="27"/>
      <c r="F663" s="27"/>
    </row>
    <row r="664" spans="1:6" ht="22.6" customHeight="1">
      <c r="A664" s="25"/>
      <c r="B664" s="26"/>
      <c r="C664" s="25"/>
      <c r="D664" s="25"/>
      <c r="E664" s="27"/>
      <c r="F664" s="27"/>
    </row>
    <row r="665" spans="1:6" ht="22.6" customHeight="1">
      <c r="A665" s="25"/>
      <c r="B665" s="26"/>
      <c r="C665" s="25"/>
      <c r="D665" s="25"/>
      <c r="E665" s="27"/>
      <c r="F665" s="27"/>
    </row>
    <row r="666" spans="1:6" ht="22.6" customHeight="1">
      <c r="A666" s="25"/>
      <c r="B666" s="26"/>
      <c r="C666" s="25"/>
      <c r="D666" s="25"/>
      <c r="E666" s="27"/>
      <c r="F666" s="27"/>
    </row>
    <row r="667" spans="1:6" ht="22.6" customHeight="1">
      <c r="A667" s="25"/>
      <c r="B667" s="26"/>
      <c r="C667" s="25"/>
      <c r="D667" s="25"/>
      <c r="E667" s="27"/>
      <c r="F667" s="27"/>
    </row>
    <row r="668" spans="1:6" ht="22.6" customHeight="1">
      <c r="A668" s="25"/>
      <c r="B668" s="26"/>
      <c r="C668" s="25"/>
      <c r="D668" s="25"/>
      <c r="E668" s="27"/>
      <c r="F668" s="27"/>
    </row>
    <row r="669" spans="1:6" ht="22.6" customHeight="1">
      <c r="A669" s="25"/>
      <c r="B669" s="26"/>
      <c r="C669" s="25"/>
      <c r="D669" s="25"/>
      <c r="E669" s="27"/>
      <c r="F669" s="27"/>
    </row>
    <row r="670" spans="1:6" ht="22.6" customHeight="1">
      <c r="A670" s="25"/>
      <c r="B670" s="26"/>
      <c r="C670" s="25"/>
      <c r="D670" s="25"/>
      <c r="E670" s="27"/>
      <c r="F670" s="27"/>
    </row>
    <row r="671" spans="1:6" ht="22.6" customHeight="1">
      <c r="A671" s="25"/>
      <c r="B671" s="26"/>
      <c r="C671" s="25"/>
      <c r="D671" s="25"/>
      <c r="E671" s="27"/>
      <c r="F671" s="27"/>
    </row>
    <row r="672" spans="1:6" ht="22.6" customHeight="1">
      <c r="A672" s="25"/>
      <c r="B672" s="26"/>
      <c r="C672" s="25"/>
      <c r="D672" s="25"/>
      <c r="E672" s="27"/>
      <c r="F672" s="27"/>
    </row>
    <row r="673" spans="1:6" ht="22.6" customHeight="1">
      <c r="A673" s="25"/>
      <c r="B673" s="26"/>
      <c r="C673" s="25"/>
      <c r="D673" s="25"/>
      <c r="E673" s="27"/>
      <c r="F673" s="27"/>
    </row>
    <row r="674" spans="1:6" ht="22.6" customHeight="1">
      <c r="A674" s="25"/>
      <c r="B674" s="26"/>
      <c r="C674" s="25"/>
      <c r="D674" s="25"/>
      <c r="E674" s="27"/>
      <c r="F674" s="27"/>
    </row>
    <row r="675" spans="1:6" ht="22.6" customHeight="1">
      <c r="A675" s="25"/>
      <c r="B675" s="26"/>
      <c r="C675" s="25"/>
      <c r="D675" s="25"/>
      <c r="E675" s="27"/>
      <c r="F675" s="27"/>
    </row>
    <row r="676" spans="1:6" ht="22.6" customHeight="1">
      <c r="A676" s="25"/>
      <c r="B676" s="26"/>
      <c r="C676" s="25"/>
      <c r="D676" s="25"/>
      <c r="E676" s="27"/>
      <c r="F676" s="27"/>
    </row>
    <row r="677" spans="1:6" ht="22.6" customHeight="1">
      <c r="A677" s="25"/>
      <c r="B677" s="26"/>
      <c r="C677" s="25"/>
      <c r="D677" s="25"/>
      <c r="E677" s="27"/>
      <c r="F677" s="27"/>
    </row>
    <row r="678" spans="1:6" ht="22.6" customHeight="1">
      <c r="A678" s="25"/>
      <c r="B678" s="26"/>
      <c r="C678" s="25"/>
      <c r="D678" s="25"/>
      <c r="E678" s="27"/>
      <c r="F678" s="27"/>
    </row>
    <row r="679" spans="1:6" ht="22.6" customHeight="1">
      <c r="A679" s="25"/>
      <c r="B679" s="26"/>
      <c r="C679" s="25"/>
      <c r="D679" s="25"/>
      <c r="E679" s="27"/>
      <c r="F679" s="27"/>
    </row>
    <row r="680" spans="1:6" ht="22.6" customHeight="1">
      <c r="A680" s="25"/>
      <c r="B680" s="26"/>
      <c r="C680" s="25"/>
      <c r="D680" s="25"/>
      <c r="E680" s="27"/>
      <c r="F680" s="27"/>
    </row>
    <row r="681" spans="1:6" ht="22.6" customHeight="1">
      <c r="A681" s="25"/>
      <c r="B681" s="26"/>
      <c r="C681" s="25"/>
      <c r="D681" s="25"/>
      <c r="E681" s="27"/>
      <c r="F681" s="27"/>
    </row>
    <row r="682" spans="1:6" ht="22.6" customHeight="1">
      <c r="A682" s="25"/>
      <c r="B682" s="26"/>
      <c r="C682" s="25"/>
      <c r="D682" s="25"/>
      <c r="E682" s="27"/>
      <c r="F682" s="27"/>
    </row>
    <row r="683" spans="1:6" ht="22.6" customHeight="1">
      <c r="A683" s="25"/>
      <c r="B683" s="26"/>
      <c r="C683" s="25"/>
      <c r="D683" s="25"/>
      <c r="E683" s="27"/>
      <c r="F683" s="27"/>
    </row>
    <row r="684" spans="1:6" ht="22.6" customHeight="1">
      <c r="A684" s="25"/>
      <c r="B684" s="26"/>
      <c r="C684" s="25"/>
      <c r="D684" s="25"/>
      <c r="E684" s="27"/>
      <c r="F684" s="27"/>
    </row>
    <row r="685" spans="1:6" ht="22.6" customHeight="1">
      <c r="A685" s="25"/>
      <c r="B685" s="26"/>
      <c r="C685" s="25"/>
      <c r="D685" s="25"/>
      <c r="E685" s="27"/>
      <c r="F685" s="27"/>
    </row>
    <row r="686" spans="1:6" ht="22.6" customHeight="1">
      <c r="A686" s="25"/>
      <c r="B686" s="26"/>
      <c r="C686" s="25"/>
      <c r="D686" s="25"/>
      <c r="E686" s="27"/>
      <c r="F686" s="27"/>
    </row>
    <row r="687" spans="1:6" ht="22.6" customHeight="1">
      <c r="A687" s="25"/>
      <c r="B687" s="26"/>
      <c r="C687" s="25"/>
      <c r="D687" s="25"/>
      <c r="E687" s="27"/>
      <c r="F687" s="27"/>
    </row>
    <row r="688" spans="1:6" ht="22.6" customHeight="1">
      <c r="A688" s="25"/>
      <c r="B688" s="26"/>
      <c r="C688" s="25"/>
      <c r="D688" s="25"/>
      <c r="E688" s="27"/>
      <c r="F688" s="27"/>
    </row>
    <row r="689" spans="1:6" ht="22.6" customHeight="1">
      <c r="A689" s="25"/>
      <c r="B689" s="26"/>
      <c r="C689" s="25"/>
      <c r="D689" s="25"/>
      <c r="E689" s="27"/>
      <c r="F689" s="27"/>
    </row>
    <row r="690" spans="1:6" ht="22.6" customHeight="1">
      <c r="A690" s="25"/>
      <c r="B690" s="26"/>
      <c r="C690" s="25"/>
      <c r="D690" s="25"/>
      <c r="E690" s="27"/>
      <c r="F690" s="27"/>
    </row>
    <row r="691" spans="1:6" ht="22.6" customHeight="1">
      <c r="A691" s="25"/>
      <c r="B691" s="26"/>
      <c r="C691" s="25"/>
      <c r="D691" s="25"/>
      <c r="E691" s="27"/>
      <c r="F691" s="27"/>
    </row>
    <row r="692" spans="1:6" ht="22.6" customHeight="1">
      <c r="A692" s="25"/>
      <c r="B692" s="26"/>
      <c r="C692" s="25"/>
      <c r="D692" s="25"/>
      <c r="E692" s="27"/>
      <c r="F692" s="27"/>
    </row>
    <row r="693" spans="1:6" ht="22.6" customHeight="1">
      <c r="A693" s="25"/>
      <c r="B693" s="26"/>
      <c r="C693" s="25"/>
      <c r="D693" s="25"/>
      <c r="E693" s="27"/>
      <c r="F693" s="27"/>
    </row>
    <row r="694" spans="1:6" ht="22.6" customHeight="1">
      <c r="A694" s="25"/>
      <c r="B694" s="26"/>
      <c r="C694" s="25"/>
      <c r="D694" s="25"/>
      <c r="E694" s="27"/>
      <c r="F694" s="27"/>
    </row>
    <row r="695" spans="1:6" ht="22.6" customHeight="1">
      <c r="A695" s="25"/>
      <c r="B695" s="26"/>
      <c r="C695" s="25"/>
      <c r="D695" s="25"/>
      <c r="E695" s="27"/>
      <c r="F695" s="27"/>
    </row>
    <row r="696" spans="1:6" ht="22.6" customHeight="1">
      <c r="A696" s="25"/>
      <c r="B696" s="26"/>
      <c r="C696" s="25"/>
      <c r="D696" s="25"/>
      <c r="E696" s="27"/>
      <c r="F696" s="27"/>
    </row>
    <row r="697" spans="1:6" ht="22.6" customHeight="1">
      <c r="A697" s="25"/>
      <c r="B697" s="26"/>
      <c r="C697" s="25"/>
      <c r="D697" s="25"/>
      <c r="E697" s="27"/>
      <c r="F697" s="27"/>
    </row>
    <row r="698" spans="1:6" ht="22.6" customHeight="1">
      <c r="A698" s="25"/>
      <c r="B698" s="26"/>
      <c r="C698" s="25"/>
      <c r="D698" s="25"/>
      <c r="E698" s="27"/>
      <c r="F698" s="27"/>
    </row>
    <row r="699" spans="1:6" ht="22.6" customHeight="1">
      <c r="A699" s="25"/>
      <c r="B699" s="26"/>
      <c r="C699" s="25"/>
      <c r="D699" s="25"/>
      <c r="E699" s="27"/>
      <c r="F699" s="27"/>
    </row>
    <row r="700" spans="1:6" ht="22.6" customHeight="1">
      <c r="A700" s="25"/>
      <c r="B700" s="26"/>
      <c r="C700" s="25"/>
      <c r="D700" s="25"/>
      <c r="E700" s="27"/>
      <c r="F700" s="27"/>
    </row>
    <row r="701" spans="1:6" ht="22.6" customHeight="1">
      <c r="A701" s="25"/>
      <c r="B701" s="26"/>
      <c r="C701" s="25"/>
      <c r="D701" s="25"/>
      <c r="E701" s="27"/>
      <c r="F701" s="27"/>
    </row>
    <row r="702" spans="1:6" ht="22.6" customHeight="1">
      <c r="A702" s="25"/>
      <c r="B702" s="26"/>
      <c r="C702" s="25"/>
      <c r="D702" s="25"/>
      <c r="E702" s="27"/>
      <c r="F702" s="27"/>
    </row>
    <row r="703" spans="1:6" ht="22.6" customHeight="1">
      <c r="A703" s="25"/>
      <c r="B703" s="26"/>
      <c r="C703" s="25"/>
      <c r="D703" s="25"/>
      <c r="E703" s="27"/>
      <c r="F703" s="27"/>
    </row>
    <row r="704" spans="1:6" ht="22.6" customHeight="1">
      <c r="A704" s="25"/>
      <c r="B704" s="26"/>
      <c r="C704" s="25"/>
      <c r="D704" s="25"/>
      <c r="E704" s="27"/>
      <c r="F704" s="27"/>
    </row>
    <row r="705" spans="1:6" ht="22.6" customHeight="1">
      <c r="A705" s="25"/>
      <c r="B705" s="26"/>
      <c r="C705" s="25"/>
      <c r="D705" s="25"/>
      <c r="E705" s="27"/>
      <c r="F705" s="27"/>
    </row>
    <row r="706" spans="1:6" ht="22.6" customHeight="1">
      <c r="A706" s="25"/>
      <c r="B706" s="26"/>
      <c r="C706" s="25"/>
      <c r="D706" s="25"/>
      <c r="E706" s="27"/>
      <c r="F706" s="27"/>
    </row>
    <row r="707" spans="1:6" ht="22.6" customHeight="1">
      <c r="A707" s="25"/>
      <c r="B707" s="26"/>
      <c r="C707" s="25"/>
      <c r="D707" s="25"/>
      <c r="E707" s="27"/>
      <c r="F707" s="27"/>
    </row>
    <row r="708" spans="1:6" ht="22.6" customHeight="1">
      <c r="A708" s="25"/>
      <c r="B708" s="26"/>
      <c r="C708" s="25"/>
      <c r="D708" s="25"/>
      <c r="E708" s="27"/>
      <c r="F708" s="27"/>
    </row>
    <row r="709" spans="1:6" ht="22.6" customHeight="1">
      <c r="A709" s="25"/>
      <c r="B709" s="26"/>
      <c r="C709" s="25"/>
      <c r="D709" s="25"/>
      <c r="E709" s="27"/>
      <c r="F709" s="27"/>
    </row>
    <row r="710" spans="1:6" ht="22.6" customHeight="1">
      <c r="A710" s="25"/>
      <c r="B710" s="26"/>
      <c r="C710" s="25"/>
      <c r="D710" s="25"/>
      <c r="E710" s="27"/>
      <c r="F710" s="27"/>
    </row>
    <row r="711" spans="1:6" ht="22.6" customHeight="1">
      <c r="A711" s="25"/>
      <c r="B711" s="26"/>
      <c r="C711" s="25"/>
      <c r="D711" s="25"/>
      <c r="E711" s="27"/>
      <c r="F711" s="27"/>
    </row>
    <row r="712" spans="1:6" ht="22.6" customHeight="1">
      <c r="A712" s="25"/>
      <c r="B712" s="26"/>
      <c r="C712" s="25"/>
      <c r="D712" s="25"/>
      <c r="E712" s="27"/>
      <c r="F712" s="27"/>
    </row>
    <row r="713" spans="1:6" ht="22.6" customHeight="1">
      <c r="A713" s="25"/>
      <c r="B713" s="26"/>
      <c r="C713" s="25"/>
      <c r="D713" s="25"/>
      <c r="E713" s="27"/>
      <c r="F713" s="27"/>
    </row>
    <row r="714" spans="1:6" ht="22.6" customHeight="1">
      <c r="A714" s="25"/>
      <c r="B714" s="26"/>
      <c r="C714" s="25"/>
      <c r="D714" s="25"/>
      <c r="E714" s="27"/>
      <c r="F714" s="27"/>
    </row>
    <row r="715" spans="1:6" ht="22.6" customHeight="1">
      <c r="A715" s="25"/>
      <c r="B715" s="26"/>
      <c r="C715" s="25"/>
      <c r="D715" s="25"/>
      <c r="E715" s="27"/>
      <c r="F715" s="27"/>
    </row>
    <row r="716" spans="1:6" ht="22.6" customHeight="1">
      <c r="A716" s="25"/>
      <c r="B716" s="26"/>
      <c r="C716" s="25"/>
      <c r="D716" s="25"/>
      <c r="E716" s="27"/>
      <c r="F716" s="27"/>
    </row>
    <row r="717" spans="1:6" ht="22.6" customHeight="1">
      <c r="A717" s="25"/>
      <c r="B717" s="26"/>
      <c r="C717" s="25"/>
      <c r="D717" s="25"/>
      <c r="E717" s="27"/>
      <c r="F717" s="27"/>
    </row>
    <row r="718" spans="1:6" ht="22.6" customHeight="1">
      <c r="A718" s="25"/>
      <c r="B718" s="26"/>
      <c r="C718" s="25"/>
      <c r="D718" s="25"/>
      <c r="E718" s="27"/>
      <c r="F718" s="27"/>
    </row>
    <row r="719" spans="1:6" ht="22.6" customHeight="1">
      <c r="A719" s="25"/>
      <c r="B719" s="26"/>
      <c r="C719" s="25"/>
      <c r="D719" s="25"/>
      <c r="E719" s="27"/>
      <c r="F719" s="27"/>
    </row>
    <row r="720" spans="1:6" ht="22.6" customHeight="1">
      <c r="A720" s="25"/>
      <c r="B720" s="26"/>
      <c r="C720" s="25"/>
      <c r="D720" s="25"/>
      <c r="E720" s="27"/>
      <c r="F720" s="27"/>
    </row>
    <row r="721" spans="1:6" ht="22.6" customHeight="1">
      <c r="A721" s="25"/>
      <c r="B721" s="26"/>
      <c r="C721" s="25"/>
      <c r="D721" s="25"/>
      <c r="E721" s="27"/>
      <c r="F721" s="27"/>
    </row>
    <row r="722" spans="1:6" ht="22.6" customHeight="1">
      <c r="A722" s="25"/>
      <c r="B722" s="26"/>
      <c r="C722" s="25"/>
      <c r="D722" s="25"/>
      <c r="E722" s="27"/>
      <c r="F722" s="27"/>
    </row>
    <row r="723" spans="1:6" ht="22.6" customHeight="1">
      <c r="A723" s="25"/>
      <c r="B723" s="26"/>
      <c r="C723" s="25"/>
      <c r="D723" s="25"/>
      <c r="E723" s="27"/>
      <c r="F723" s="27"/>
    </row>
    <row r="724" spans="1:6" ht="22.6" customHeight="1">
      <c r="A724" s="25"/>
      <c r="B724" s="26"/>
      <c r="C724" s="25"/>
      <c r="D724" s="25"/>
      <c r="E724" s="27"/>
      <c r="F724" s="27"/>
    </row>
    <row r="725" spans="1:6" ht="22.6" customHeight="1">
      <c r="A725" s="25"/>
      <c r="B725" s="26"/>
      <c r="C725" s="25"/>
      <c r="D725" s="25"/>
      <c r="E725" s="27"/>
      <c r="F725" s="27"/>
    </row>
    <row r="726" spans="1:6" ht="22.6" customHeight="1">
      <c r="A726" s="25"/>
      <c r="B726" s="26"/>
      <c r="C726" s="25"/>
      <c r="D726" s="25"/>
      <c r="E726" s="27"/>
      <c r="F726" s="27"/>
    </row>
    <row r="727" spans="1:6" ht="22.6" customHeight="1">
      <c r="A727" s="25"/>
      <c r="B727" s="26"/>
      <c r="C727" s="25"/>
      <c r="D727" s="25"/>
      <c r="E727" s="27"/>
      <c r="F727" s="27"/>
    </row>
    <row r="728" spans="1:6" ht="22.6" customHeight="1">
      <c r="A728" s="25"/>
      <c r="B728" s="26"/>
      <c r="C728" s="25"/>
      <c r="D728" s="25"/>
      <c r="E728" s="27"/>
      <c r="F728" s="27"/>
    </row>
    <row r="729" spans="1:6" ht="22.6" customHeight="1">
      <c r="A729" s="25"/>
      <c r="B729" s="26"/>
      <c r="C729" s="25"/>
      <c r="D729" s="25"/>
      <c r="E729" s="27"/>
      <c r="F729" s="27"/>
    </row>
    <row r="730" spans="1:6" ht="22.6" customHeight="1">
      <c r="A730" s="25"/>
      <c r="B730" s="26"/>
      <c r="C730" s="25"/>
      <c r="D730" s="25"/>
      <c r="E730" s="27"/>
      <c r="F730" s="27"/>
    </row>
    <row r="731" spans="1:6" ht="22.6" customHeight="1">
      <c r="A731" s="25"/>
      <c r="B731" s="26"/>
      <c r="C731" s="25"/>
      <c r="D731" s="25"/>
      <c r="E731" s="27"/>
      <c r="F731" s="27"/>
    </row>
    <row r="732" spans="1:6" ht="22.6" customHeight="1">
      <c r="A732" s="25"/>
      <c r="B732" s="26"/>
      <c r="C732" s="25"/>
      <c r="D732" s="25"/>
      <c r="E732" s="27"/>
      <c r="F732" s="27"/>
    </row>
    <row r="733" spans="1:6" ht="22.6" customHeight="1">
      <c r="A733" s="25"/>
      <c r="B733" s="26"/>
      <c r="C733" s="25"/>
      <c r="D733" s="25"/>
      <c r="E733" s="27"/>
      <c r="F733" s="27"/>
    </row>
    <row r="734" spans="1:6" ht="22.6" customHeight="1">
      <c r="A734" s="25"/>
      <c r="B734" s="26"/>
      <c r="C734" s="25"/>
      <c r="D734" s="25"/>
      <c r="E734" s="27"/>
      <c r="F734" s="27"/>
    </row>
    <row r="735" spans="1:6" ht="22.6" customHeight="1">
      <c r="A735" s="25"/>
      <c r="B735" s="26"/>
      <c r="C735" s="25"/>
      <c r="D735" s="25"/>
      <c r="E735" s="27"/>
      <c r="F735" s="27"/>
    </row>
    <row r="736" spans="1:6" ht="22.6" customHeight="1">
      <c r="A736" s="25"/>
      <c r="B736" s="26"/>
      <c r="C736" s="25"/>
      <c r="D736" s="25"/>
      <c r="E736" s="27"/>
      <c r="F736" s="27"/>
    </row>
    <row r="737" spans="1:6" ht="22.6" customHeight="1">
      <c r="A737" s="25"/>
      <c r="B737" s="26"/>
      <c r="C737" s="25"/>
      <c r="D737" s="25"/>
      <c r="E737" s="27"/>
      <c r="F737" s="27"/>
    </row>
    <row r="738" spans="1:6" ht="22.6" customHeight="1">
      <c r="A738" s="25"/>
      <c r="B738" s="26"/>
      <c r="C738" s="25"/>
      <c r="D738" s="25"/>
      <c r="E738" s="27"/>
      <c r="F738" s="27"/>
    </row>
    <row r="739" spans="1:6" ht="22.6" customHeight="1">
      <c r="A739" s="25"/>
      <c r="B739" s="26"/>
      <c r="C739" s="25"/>
      <c r="D739" s="25"/>
      <c r="E739" s="27"/>
      <c r="F739" s="27"/>
    </row>
    <row r="740" spans="1:6" ht="22.6" customHeight="1">
      <c r="A740" s="25"/>
      <c r="B740" s="26"/>
      <c r="C740" s="25"/>
      <c r="D740" s="25"/>
      <c r="E740" s="27"/>
      <c r="F740" s="27"/>
    </row>
    <row r="741" spans="1:6" ht="22.6" customHeight="1">
      <c r="A741" s="25"/>
      <c r="B741" s="26"/>
      <c r="C741" s="25"/>
      <c r="D741" s="25"/>
      <c r="E741" s="27"/>
      <c r="F741" s="27"/>
    </row>
    <row r="742" spans="1:6" ht="22.6" customHeight="1">
      <c r="A742" s="25"/>
      <c r="B742" s="26"/>
      <c r="C742" s="25"/>
      <c r="D742" s="25"/>
      <c r="E742" s="27"/>
      <c r="F742" s="27"/>
    </row>
    <row r="743" spans="1:6" ht="22.6" customHeight="1">
      <c r="A743" s="25"/>
      <c r="B743" s="26"/>
      <c r="C743" s="25"/>
      <c r="D743" s="25"/>
      <c r="E743" s="27"/>
      <c r="F743" s="27"/>
    </row>
    <row r="744" spans="1:6" ht="22.6" customHeight="1">
      <c r="A744" s="25"/>
      <c r="B744" s="26"/>
      <c r="C744" s="25"/>
      <c r="D744" s="25"/>
      <c r="E744" s="27"/>
      <c r="F744" s="27"/>
    </row>
  </sheetData>
  <dataValidations count="2">
    <dataValidation type="custom" allowBlank="1" showDropDown="1" sqref="E2:F744" xr:uid="{00000000-0002-0000-0700-000000000000}">
      <formula1>OR(NOT(ISERROR(DATEVALUE(E2))), AND(ISNUMBER(E2), LEFT(CELL("format", E2))="D"))</formula1>
    </dataValidation>
    <dataValidation type="custom" allowBlank="1" showDropDown="1" sqref="B2:B744" xr:uid="{00000000-0002-0000-0700-000001000000}">
      <formula1>AND(ISNUMBER(B2),(NOT(OR(NOT(ISERROR(DATEVALUE(B2))), AND(ISNUMBER(B2), LEFT(CELL("format", B2))="D")))))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D39"/>
  <sheetViews>
    <sheetView workbookViewId="0"/>
  </sheetViews>
  <sheetFormatPr defaultColWidth="12.625" defaultRowHeight="15.8" customHeight="1"/>
  <sheetData>
    <row r="1" spans="1:30">
      <c r="A1" s="28" t="s">
        <v>247</v>
      </c>
      <c r="B1" s="28" t="s">
        <v>248</v>
      </c>
      <c r="C1" s="28" t="s">
        <v>249</v>
      </c>
      <c r="D1" s="28" t="s">
        <v>250</v>
      </c>
      <c r="E1" s="28" t="s">
        <v>251</v>
      </c>
      <c r="F1" s="28" t="s">
        <v>252</v>
      </c>
      <c r="G1" s="28" t="s">
        <v>253</v>
      </c>
      <c r="H1" s="28" t="s">
        <v>254</v>
      </c>
      <c r="I1" s="28" t="s">
        <v>255</v>
      </c>
      <c r="J1" s="28" t="s">
        <v>256</v>
      </c>
      <c r="K1" s="28" t="s">
        <v>257</v>
      </c>
      <c r="L1" s="28" t="s">
        <v>258</v>
      </c>
      <c r="M1" s="28" t="s">
        <v>259</v>
      </c>
      <c r="N1" s="28" t="s">
        <v>260</v>
      </c>
      <c r="O1" s="28" t="s">
        <v>261</v>
      </c>
      <c r="P1" s="28" t="s">
        <v>262</v>
      </c>
      <c r="Q1" s="28" t="s">
        <v>263</v>
      </c>
      <c r="R1" s="28" t="s">
        <v>264</v>
      </c>
      <c r="S1" s="28" t="s">
        <v>265</v>
      </c>
      <c r="T1" s="28" t="s">
        <v>266</v>
      </c>
      <c r="U1" s="28" t="s">
        <v>267</v>
      </c>
      <c r="V1" s="28" t="s">
        <v>268</v>
      </c>
      <c r="W1" s="28" t="s">
        <v>269</v>
      </c>
      <c r="X1" s="28" t="s">
        <v>270</v>
      </c>
      <c r="Y1" s="28" t="s">
        <v>271</v>
      </c>
      <c r="Z1" s="28" t="s">
        <v>272</v>
      </c>
      <c r="AA1" s="28" t="s">
        <v>273</v>
      </c>
      <c r="AB1" s="28" t="s">
        <v>274</v>
      </c>
      <c r="AC1" s="28" t="s">
        <v>275</v>
      </c>
      <c r="AD1" s="28" t="s">
        <v>276</v>
      </c>
    </row>
    <row r="2" spans="1:30">
      <c r="A2" s="29" t="b">
        <v>1</v>
      </c>
      <c r="B2" s="28"/>
      <c r="C2" s="28" t="s">
        <v>277</v>
      </c>
      <c r="D2" s="29" t="b">
        <v>1</v>
      </c>
      <c r="E2" s="28" t="s">
        <v>278</v>
      </c>
      <c r="F2" s="28" t="s">
        <v>278</v>
      </c>
      <c r="G2" s="28" t="s">
        <v>278</v>
      </c>
      <c r="H2" s="30">
        <v>45099</v>
      </c>
      <c r="I2" s="13">
        <v>5720000</v>
      </c>
      <c r="J2" s="28" t="s">
        <v>279</v>
      </c>
      <c r="K2" s="28" t="s">
        <v>278</v>
      </c>
      <c r="L2" s="28" t="s">
        <v>280</v>
      </c>
      <c r="M2" s="28" t="s">
        <v>281</v>
      </c>
      <c r="N2" s="28" t="s">
        <v>278</v>
      </c>
      <c r="O2" s="30">
        <v>45095</v>
      </c>
      <c r="P2" s="28" t="s">
        <v>282</v>
      </c>
      <c r="Q2" s="31" t="s">
        <v>283</v>
      </c>
      <c r="R2" s="28" t="s">
        <v>284</v>
      </c>
      <c r="S2" s="28" t="s">
        <v>284</v>
      </c>
      <c r="T2" s="28" t="s">
        <v>243</v>
      </c>
      <c r="U2" s="28" t="s">
        <v>285</v>
      </c>
      <c r="V2" s="13">
        <v>36755</v>
      </c>
      <c r="W2" s="30">
        <v>45421</v>
      </c>
      <c r="X2" s="28" t="s">
        <v>243</v>
      </c>
      <c r="Y2" s="30">
        <v>45093</v>
      </c>
      <c r="Z2" s="28" t="s">
        <v>284</v>
      </c>
      <c r="AA2" s="28" t="s">
        <v>286</v>
      </c>
      <c r="AB2" s="28" t="s">
        <v>287</v>
      </c>
      <c r="AC2" s="28" t="s">
        <v>288</v>
      </c>
      <c r="AD2" s="28" t="s">
        <v>289</v>
      </c>
    </row>
    <row r="3" spans="1:30">
      <c r="A3" s="29" t="b">
        <v>1</v>
      </c>
      <c r="B3" s="28"/>
      <c r="C3" s="28" t="s">
        <v>290</v>
      </c>
      <c r="D3" s="28"/>
      <c r="E3" s="28"/>
      <c r="F3" s="28"/>
      <c r="G3" s="28"/>
      <c r="H3" s="28"/>
      <c r="I3" s="13">
        <v>10000000</v>
      </c>
      <c r="J3" s="28" t="s">
        <v>291</v>
      </c>
      <c r="K3" s="28"/>
      <c r="L3" s="28" t="s">
        <v>292</v>
      </c>
      <c r="M3" s="28" t="s">
        <v>291</v>
      </c>
      <c r="N3" s="28"/>
      <c r="O3" s="28"/>
      <c r="P3" s="28" t="s">
        <v>291</v>
      </c>
      <c r="Q3" s="31" t="s">
        <v>293</v>
      </c>
      <c r="R3" s="28" t="s">
        <v>294</v>
      </c>
      <c r="S3" s="28" t="s">
        <v>295</v>
      </c>
      <c r="T3" s="28" t="s">
        <v>243</v>
      </c>
      <c r="U3" s="28" t="s">
        <v>285</v>
      </c>
      <c r="V3" s="13">
        <v>36786</v>
      </c>
      <c r="W3" s="30">
        <v>45143</v>
      </c>
      <c r="X3" s="28" t="s">
        <v>243</v>
      </c>
      <c r="Y3" s="30">
        <v>45097</v>
      </c>
      <c r="Z3" s="28" t="s">
        <v>291</v>
      </c>
      <c r="AA3" s="28" t="s">
        <v>286</v>
      </c>
      <c r="AB3" s="28" t="s">
        <v>287</v>
      </c>
      <c r="AC3" s="28" t="s">
        <v>296</v>
      </c>
      <c r="AD3" s="28" t="s">
        <v>289</v>
      </c>
    </row>
    <row r="4" spans="1:30">
      <c r="A4" s="29" t="b">
        <v>1</v>
      </c>
      <c r="B4" s="28"/>
      <c r="C4" s="28" t="s">
        <v>290</v>
      </c>
      <c r="D4" s="29" t="b">
        <v>1</v>
      </c>
      <c r="E4" s="28" t="s">
        <v>284</v>
      </c>
      <c r="F4" s="28" t="s">
        <v>284</v>
      </c>
      <c r="G4" s="28" t="s">
        <v>284</v>
      </c>
      <c r="H4" s="30">
        <v>45099</v>
      </c>
      <c r="I4" s="13">
        <v>10000000</v>
      </c>
      <c r="J4" s="28" t="s">
        <v>284</v>
      </c>
      <c r="K4" s="28" t="s">
        <v>284</v>
      </c>
      <c r="L4" s="28" t="s">
        <v>292</v>
      </c>
      <c r="M4" s="28" t="s">
        <v>284</v>
      </c>
      <c r="N4" s="28" t="s">
        <v>284</v>
      </c>
      <c r="O4" s="30">
        <v>45097</v>
      </c>
      <c r="P4" s="28" t="s">
        <v>284</v>
      </c>
      <c r="Q4" s="31" t="s">
        <v>293</v>
      </c>
      <c r="R4" s="28" t="s">
        <v>284</v>
      </c>
      <c r="S4" s="28" t="s">
        <v>284</v>
      </c>
      <c r="T4" s="28" t="s">
        <v>243</v>
      </c>
      <c r="U4" s="28" t="s">
        <v>285</v>
      </c>
      <c r="V4" s="13">
        <v>36788</v>
      </c>
      <c r="W4" s="30">
        <v>45143</v>
      </c>
      <c r="X4" s="28" t="s">
        <v>243</v>
      </c>
      <c r="Y4" s="30">
        <v>45097</v>
      </c>
      <c r="Z4" s="28" t="s">
        <v>284</v>
      </c>
      <c r="AA4" s="28" t="s">
        <v>286</v>
      </c>
      <c r="AB4" s="28" t="s">
        <v>287</v>
      </c>
      <c r="AC4" s="28" t="s">
        <v>288</v>
      </c>
      <c r="AD4" s="28" t="s">
        <v>289</v>
      </c>
    </row>
    <row r="5" spans="1:30">
      <c r="A5" s="29" t="b">
        <v>1</v>
      </c>
      <c r="B5" s="28"/>
      <c r="C5" s="28" t="s">
        <v>277</v>
      </c>
      <c r="D5" s="29" t="b">
        <v>1</v>
      </c>
      <c r="E5" s="28" t="s">
        <v>297</v>
      </c>
      <c r="F5" s="28" t="s">
        <v>278</v>
      </c>
      <c r="G5" s="28"/>
      <c r="H5" s="30">
        <v>45107</v>
      </c>
      <c r="I5" s="13">
        <v>5720000</v>
      </c>
      <c r="J5" s="28" t="s">
        <v>298</v>
      </c>
      <c r="K5" s="28" t="s">
        <v>278</v>
      </c>
      <c r="L5" s="28" t="s">
        <v>280</v>
      </c>
      <c r="M5" s="28" t="s">
        <v>278</v>
      </c>
      <c r="N5" s="28" t="s">
        <v>278</v>
      </c>
      <c r="O5" s="30">
        <v>45075</v>
      </c>
      <c r="P5" s="28" t="s">
        <v>278</v>
      </c>
      <c r="Q5" s="31" t="s">
        <v>283</v>
      </c>
      <c r="R5" s="28" t="s">
        <v>299</v>
      </c>
      <c r="S5" s="28" t="s">
        <v>300</v>
      </c>
      <c r="T5" s="28" t="s">
        <v>211</v>
      </c>
      <c r="U5" s="28" t="s">
        <v>285</v>
      </c>
      <c r="V5" s="13">
        <v>36793</v>
      </c>
      <c r="W5" s="30">
        <v>45097</v>
      </c>
      <c r="X5" s="28" t="s">
        <v>211</v>
      </c>
      <c r="Y5" s="30">
        <v>45097</v>
      </c>
      <c r="Z5" s="28" t="s">
        <v>54</v>
      </c>
      <c r="AA5" s="28" t="s">
        <v>286</v>
      </c>
      <c r="AB5" s="28" t="s">
        <v>287</v>
      </c>
      <c r="AC5" s="28" t="s">
        <v>288</v>
      </c>
      <c r="AD5" s="28" t="s">
        <v>289</v>
      </c>
    </row>
    <row r="6" spans="1:30">
      <c r="A6" s="29" t="b">
        <v>1</v>
      </c>
      <c r="B6" s="28" t="s">
        <v>301</v>
      </c>
      <c r="C6" s="28"/>
      <c r="D6" s="28"/>
      <c r="E6" s="28"/>
      <c r="F6" s="28"/>
      <c r="G6" s="28"/>
      <c r="H6" s="28"/>
      <c r="I6" s="28"/>
      <c r="J6" s="39" t="s">
        <v>302</v>
      </c>
      <c r="K6" s="40"/>
      <c r="L6" s="40"/>
      <c r="M6" s="39" t="s">
        <v>303</v>
      </c>
      <c r="N6" s="40"/>
      <c r="O6" s="40"/>
      <c r="P6" s="39" t="s">
        <v>304</v>
      </c>
      <c r="Q6" s="40"/>
      <c r="R6" s="28" t="s">
        <v>305</v>
      </c>
      <c r="S6" s="28" t="s">
        <v>306</v>
      </c>
      <c r="T6" s="28" t="s">
        <v>189</v>
      </c>
      <c r="U6" s="28" t="s">
        <v>285</v>
      </c>
      <c r="V6" s="13">
        <v>36813</v>
      </c>
      <c r="W6" s="30">
        <v>45152</v>
      </c>
      <c r="X6" s="28" t="s">
        <v>189</v>
      </c>
      <c r="Y6" s="30">
        <v>45097</v>
      </c>
      <c r="Z6" s="28" t="s">
        <v>307</v>
      </c>
      <c r="AA6" s="28" t="s">
        <v>286</v>
      </c>
      <c r="AB6" s="28" t="s">
        <v>287</v>
      </c>
      <c r="AC6" s="28" t="s">
        <v>296</v>
      </c>
      <c r="AD6" s="28" t="s">
        <v>308</v>
      </c>
    </row>
    <row r="7" spans="1:30">
      <c r="A7" s="29" t="b">
        <v>1</v>
      </c>
      <c r="B7" s="28" t="s">
        <v>309</v>
      </c>
      <c r="C7" s="28" t="s">
        <v>310</v>
      </c>
      <c r="D7" s="29" t="b">
        <v>1</v>
      </c>
      <c r="E7" s="28" t="s">
        <v>311</v>
      </c>
      <c r="F7" s="39" t="s">
        <v>312</v>
      </c>
      <c r="G7" s="40"/>
      <c r="H7" s="30">
        <v>45157</v>
      </c>
      <c r="I7" s="28" t="s">
        <v>313</v>
      </c>
      <c r="J7" s="39" t="s">
        <v>314</v>
      </c>
      <c r="K7" s="40"/>
      <c r="L7" s="28" t="s">
        <v>315</v>
      </c>
      <c r="M7" s="28" t="s">
        <v>303</v>
      </c>
      <c r="N7" s="28" t="s">
        <v>316</v>
      </c>
      <c r="O7" s="30">
        <v>45156</v>
      </c>
      <c r="P7" s="28" t="s">
        <v>317</v>
      </c>
      <c r="Q7" s="31" t="s">
        <v>318</v>
      </c>
      <c r="R7" s="28" t="s">
        <v>305</v>
      </c>
      <c r="S7" s="28" t="s">
        <v>306</v>
      </c>
      <c r="T7" s="28" t="s">
        <v>130</v>
      </c>
      <c r="U7" s="28" t="s">
        <v>285</v>
      </c>
      <c r="V7" s="13">
        <v>37761</v>
      </c>
      <c r="W7" s="30">
        <v>45147</v>
      </c>
      <c r="X7" s="28" t="s">
        <v>130</v>
      </c>
      <c r="Y7" s="30">
        <v>45146</v>
      </c>
      <c r="Z7" s="28" t="s">
        <v>307</v>
      </c>
      <c r="AA7" s="28" t="s">
        <v>286</v>
      </c>
      <c r="AB7" s="28" t="s">
        <v>287</v>
      </c>
      <c r="AC7" s="28" t="s">
        <v>288</v>
      </c>
      <c r="AD7" s="28" t="s">
        <v>319</v>
      </c>
    </row>
    <row r="8" spans="1:30">
      <c r="A8" s="29" t="b">
        <v>1</v>
      </c>
      <c r="B8" s="28" t="s">
        <v>320</v>
      </c>
      <c r="C8" s="28" t="s">
        <v>310</v>
      </c>
      <c r="D8" s="29" t="b">
        <v>1</v>
      </c>
      <c r="E8" s="28" t="s">
        <v>311</v>
      </c>
      <c r="F8" s="39" t="s">
        <v>312</v>
      </c>
      <c r="G8" s="40"/>
      <c r="H8" s="30">
        <v>45157</v>
      </c>
      <c r="I8" s="28" t="s">
        <v>321</v>
      </c>
      <c r="J8" s="39" t="s">
        <v>314</v>
      </c>
      <c r="K8" s="40"/>
      <c r="L8" s="28" t="s">
        <v>315</v>
      </c>
      <c r="M8" s="28" t="s">
        <v>303</v>
      </c>
      <c r="N8" s="28" t="s">
        <v>316</v>
      </c>
      <c r="O8" s="30">
        <v>45156</v>
      </c>
      <c r="P8" s="28" t="s">
        <v>317</v>
      </c>
      <c r="Q8" s="31" t="s">
        <v>318</v>
      </c>
      <c r="R8" s="28" t="s">
        <v>305</v>
      </c>
      <c r="S8" s="28" t="s">
        <v>306</v>
      </c>
      <c r="T8" s="28" t="s">
        <v>130</v>
      </c>
      <c r="U8" s="28" t="s">
        <v>285</v>
      </c>
      <c r="V8" s="13">
        <v>37771</v>
      </c>
      <c r="W8" s="30">
        <v>45194</v>
      </c>
      <c r="X8" s="28" t="s">
        <v>130</v>
      </c>
      <c r="Y8" s="30">
        <v>45147</v>
      </c>
      <c r="Z8" s="28" t="s">
        <v>307</v>
      </c>
      <c r="AA8" s="28" t="s">
        <v>286</v>
      </c>
      <c r="AB8" s="28" t="s">
        <v>287</v>
      </c>
      <c r="AC8" s="28" t="s">
        <v>288</v>
      </c>
      <c r="AD8" s="28" t="s">
        <v>319</v>
      </c>
    </row>
    <row r="9" spans="1:30">
      <c r="A9" s="29" t="b">
        <v>1</v>
      </c>
      <c r="B9" s="28" t="s">
        <v>322</v>
      </c>
      <c r="C9" s="28" t="s">
        <v>277</v>
      </c>
      <c r="D9" s="29" t="b">
        <v>1</v>
      </c>
      <c r="E9" s="28" t="s">
        <v>323</v>
      </c>
      <c r="F9" s="39" t="s">
        <v>324</v>
      </c>
      <c r="G9" s="40"/>
      <c r="H9" s="32">
        <v>45226</v>
      </c>
      <c r="I9" s="28" t="s">
        <v>325</v>
      </c>
      <c r="J9" s="28" t="s">
        <v>326</v>
      </c>
      <c r="K9" s="28" t="s">
        <v>327</v>
      </c>
      <c r="L9" s="28" t="s">
        <v>328</v>
      </c>
      <c r="M9" s="28" t="s">
        <v>303</v>
      </c>
      <c r="N9" s="28" t="s">
        <v>329</v>
      </c>
      <c r="O9" s="30">
        <v>45174</v>
      </c>
      <c r="P9" s="28" t="s">
        <v>330</v>
      </c>
      <c r="Q9" s="31" t="s">
        <v>331</v>
      </c>
      <c r="R9" s="28" t="s">
        <v>305</v>
      </c>
      <c r="S9" s="28" t="s">
        <v>306</v>
      </c>
      <c r="T9" s="28" t="s">
        <v>33</v>
      </c>
      <c r="U9" s="28" t="s">
        <v>285</v>
      </c>
      <c r="V9" s="13">
        <v>37945</v>
      </c>
      <c r="W9" s="32">
        <v>45244</v>
      </c>
      <c r="X9" s="28" t="s">
        <v>33</v>
      </c>
      <c r="Y9" s="30">
        <v>45156</v>
      </c>
      <c r="Z9" s="28" t="s">
        <v>307</v>
      </c>
      <c r="AA9" s="28" t="s">
        <v>332</v>
      </c>
      <c r="AB9" s="28" t="s">
        <v>287</v>
      </c>
      <c r="AC9" s="28" t="s">
        <v>288</v>
      </c>
      <c r="AD9" s="28" t="s">
        <v>333</v>
      </c>
    </row>
    <row r="10" spans="1:30">
      <c r="A10" s="29" t="b">
        <v>1</v>
      </c>
      <c r="B10" s="28"/>
      <c r="C10" s="28" t="s">
        <v>334</v>
      </c>
      <c r="D10" s="29" t="b">
        <v>1</v>
      </c>
      <c r="E10" s="28" t="s">
        <v>335</v>
      </c>
      <c r="F10" s="39" t="s">
        <v>336</v>
      </c>
      <c r="G10" s="40"/>
      <c r="H10" s="30">
        <v>45473</v>
      </c>
      <c r="I10" s="13">
        <v>555</v>
      </c>
      <c r="J10" s="39" t="s">
        <v>337</v>
      </c>
      <c r="K10" s="40"/>
      <c r="L10" s="28" t="s">
        <v>338</v>
      </c>
      <c r="M10" s="28" t="s">
        <v>303</v>
      </c>
      <c r="N10" s="28" t="s">
        <v>339</v>
      </c>
      <c r="O10" s="32">
        <v>45281</v>
      </c>
      <c r="P10" s="28" t="s">
        <v>330</v>
      </c>
      <c r="Q10" s="31" t="s">
        <v>340</v>
      </c>
      <c r="R10" s="28" t="s">
        <v>305</v>
      </c>
      <c r="S10" s="28" t="s">
        <v>306</v>
      </c>
      <c r="T10" s="28" t="s">
        <v>237</v>
      </c>
      <c r="U10" s="28" t="s">
        <v>285</v>
      </c>
      <c r="V10" s="13">
        <v>40200</v>
      </c>
      <c r="W10" s="30">
        <v>45499</v>
      </c>
      <c r="X10" s="28" t="s">
        <v>237</v>
      </c>
      <c r="Y10" s="32">
        <v>45281</v>
      </c>
      <c r="Z10" s="28" t="s">
        <v>307</v>
      </c>
      <c r="AA10" s="28" t="s">
        <v>286</v>
      </c>
      <c r="AB10" s="28" t="s">
        <v>287</v>
      </c>
      <c r="AC10" s="28" t="s">
        <v>288</v>
      </c>
      <c r="AD10" s="28" t="s">
        <v>341</v>
      </c>
    </row>
    <row r="11" spans="1:30">
      <c r="A11" s="29" t="b">
        <v>1</v>
      </c>
      <c r="B11" s="28" t="s">
        <v>342</v>
      </c>
      <c r="C11" s="28" t="s">
        <v>343</v>
      </c>
      <c r="D11" s="29" t="b">
        <v>1</v>
      </c>
      <c r="E11" s="28" t="s">
        <v>344</v>
      </c>
      <c r="F11" s="39" t="s">
        <v>345</v>
      </c>
      <c r="G11" s="40"/>
      <c r="H11" s="30">
        <v>45442</v>
      </c>
      <c r="I11" s="28" t="s">
        <v>346</v>
      </c>
      <c r="J11" s="28" t="s">
        <v>347</v>
      </c>
      <c r="K11" s="28" t="s">
        <v>348</v>
      </c>
      <c r="L11" s="28" t="s">
        <v>349</v>
      </c>
      <c r="M11" s="28" t="s">
        <v>303</v>
      </c>
      <c r="N11" s="28" t="s">
        <v>350</v>
      </c>
      <c r="O11" s="30">
        <v>45300</v>
      </c>
      <c r="P11" s="28" t="s">
        <v>351</v>
      </c>
      <c r="Q11" s="31" t="s">
        <v>352</v>
      </c>
      <c r="R11" s="28" t="s">
        <v>305</v>
      </c>
      <c r="S11" s="28" t="s">
        <v>306</v>
      </c>
      <c r="T11" s="28" t="s">
        <v>181</v>
      </c>
      <c r="U11" s="28" t="s">
        <v>285</v>
      </c>
      <c r="V11" s="13">
        <v>40434</v>
      </c>
      <c r="W11" s="30">
        <v>45306</v>
      </c>
      <c r="X11" s="28" t="s">
        <v>181</v>
      </c>
      <c r="Y11" s="30">
        <v>45295</v>
      </c>
      <c r="Z11" s="28" t="s">
        <v>307</v>
      </c>
      <c r="AA11" s="28" t="s">
        <v>353</v>
      </c>
      <c r="AB11" s="28" t="s">
        <v>354</v>
      </c>
      <c r="AC11" s="28" t="s">
        <v>288</v>
      </c>
      <c r="AD11" s="28" t="s">
        <v>333</v>
      </c>
    </row>
    <row r="12" spans="1:30">
      <c r="A12" s="29" t="b">
        <v>1</v>
      </c>
      <c r="B12" s="28"/>
      <c r="C12" s="28" t="s">
        <v>355</v>
      </c>
      <c r="D12" s="29" t="b">
        <v>1</v>
      </c>
      <c r="E12" s="28" t="s">
        <v>356</v>
      </c>
      <c r="F12" s="39" t="s">
        <v>357</v>
      </c>
      <c r="G12" s="40"/>
      <c r="H12" s="30">
        <v>46600</v>
      </c>
      <c r="I12" s="13">
        <v>62000000</v>
      </c>
      <c r="J12" s="28"/>
      <c r="K12" s="28"/>
      <c r="L12" s="39" t="s">
        <v>358</v>
      </c>
      <c r="M12" s="40"/>
      <c r="N12" s="28" t="s">
        <v>359</v>
      </c>
      <c r="O12" s="30">
        <v>45047</v>
      </c>
      <c r="P12" s="28"/>
      <c r="Q12" s="41" t="s">
        <v>360</v>
      </c>
      <c r="R12" s="40"/>
      <c r="S12" s="40"/>
      <c r="T12" s="28" t="s">
        <v>237</v>
      </c>
      <c r="U12" s="28" t="s">
        <v>285</v>
      </c>
      <c r="V12" s="13">
        <v>40825</v>
      </c>
      <c r="W12" s="30">
        <v>45309</v>
      </c>
      <c r="X12" s="28" t="s">
        <v>237</v>
      </c>
      <c r="Y12" s="30">
        <v>45308</v>
      </c>
      <c r="Z12" s="28" t="s">
        <v>361</v>
      </c>
      <c r="AA12" s="28" t="s">
        <v>286</v>
      </c>
      <c r="AB12" s="28" t="s">
        <v>287</v>
      </c>
      <c r="AC12" s="28" t="s">
        <v>288</v>
      </c>
      <c r="AD12" s="28" t="s">
        <v>341</v>
      </c>
    </row>
    <row r="13" spans="1:30">
      <c r="A13" s="29" t="b">
        <v>1</v>
      </c>
      <c r="B13" s="28" t="s">
        <v>362</v>
      </c>
      <c r="C13" s="28" t="s">
        <v>277</v>
      </c>
      <c r="D13" s="29" t="b">
        <v>1</v>
      </c>
      <c r="E13" s="28" t="s">
        <v>363</v>
      </c>
      <c r="F13" s="39" t="s">
        <v>364</v>
      </c>
      <c r="G13" s="40"/>
      <c r="H13" s="30">
        <v>45435</v>
      </c>
      <c r="I13" s="28" t="s">
        <v>365</v>
      </c>
      <c r="J13" s="28" t="s">
        <v>366</v>
      </c>
      <c r="K13" s="28" t="s">
        <v>367</v>
      </c>
      <c r="L13" s="28" t="s">
        <v>280</v>
      </c>
      <c r="M13" s="28" t="s">
        <v>303</v>
      </c>
      <c r="N13" s="28" t="s">
        <v>368</v>
      </c>
      <c r="O13" s="30">
        <v>45379</v>
      </c>
      <c r="P13" s="28" t="s">
        <v>369</v>
      </c>
      <c r="Q13" s="31" t="s">
        <v>331</v>
      </c>
      <c r="R13" s="28" t="s">
        <v>305</v>
      </c>
      <c r="S13" s="28" t="s">
        <v>306</v>
      </c>
      <c r="T13" s="28" t="s">
        <v>105</v>
      </c>
      <c r="U13" s="28" t="s">
        <v>285</v>
      </c>
      <c r="V13" s="13">
        <v>41536</v>
      </c>
      <c r="W13" s="30">
        <v>45364</v>
      </c>
      <c r="X13" s="28" t="s">
        <v>105</v>
      </c>
      <c r="Y13" s="30">
        <v>45357</v>
      </c>
      <c r="Z13" s="28" t="s">
        <v>307</v>
      </c>
      <c r="AA13" s="28" t="s">
        <v>353</v>
      </c>
      <c r="AB13" s="28" t="s">
        <v>287</v>
      </c>
      <c r="AC13" s="28" t="s">
        <v>288</v>
      </c>
      <c r="AD13" s="28" t="s">
        <v>333</v>
      </c>
    </row>
    <row r="14" spans="1:30">
      <c r="A14" s="29" t="b">
        <v>1</v>
      </c>
      <c r="B14" s="28" t="s">
        <v>774</v>
      </c>
      <c r="C14" s="28" t="s">
        <v>371</v>
      </c>
      <c r="D14" s="29" t="b">
        <v>1</v>
      </c>
      <c r="E14" s="28" t="s">
        <v>372</v>
      </c>
      <c r="F14" s="39" t="s">
        <v>373</v>
      </c>
      <c r="G14" s="40"/>
      <c r="H14" s="30">
        <v>45373</v>
      </c>
      <c r="I14" s="13">
        <v>2199000</v>
      </c>
      <c r="J14" s="28"/>
      <c r="K14" s="28"/>
      <c r="L14" s="39" t="s">
        <v>374</v>
      </c>
      <c r="M14" s="40"/>
      <c r="N14" s="28" t="s">
        <v>375</v>
      </c>
      <c r="O14" s="30">
        <v>45373</v>
      </c>
      <c r="P14" s="28"/>
      <c r="Q14" s="41" t="s">
        <v>376</v>
      </c>
      <c r="R14" s="40"/>
      <c r="S14" s="40"/>
      <c r="T14" s="28" t="s">
        <v>237</v>
      </c>
      <c r="U14" s="28" t="s">
        <v>285</v>
      </c>
      <c r="V14" s="13">
        <v>41877</v>
      </c>
      <c r="W14" s="30">
        <v>45387</v>
      </c>
      <c r="X14" s="28" t="s">
        <v>237</v>
      </c>
      <c r="Y14" s="30">
        <v>45373</v>
      </c>
      <c r="Z14" s="28"/>
      <c r="AA14" s="28" t="s">
        <v>286</v>
      </c>
      <c r="AB14" s="28" t="s">
        <v>287</v>
      </c>
      <c r="AC14" s="28" t="s">
        <v>288</v>
      </c>
      <c r="AD14" s="28" t="s">
        <v>341</v>
      </c>
    </row>
    <row r="15" spans="1:30">
      <c r="A15" s="29" t="b">
        <v>1</v>
      </c>
      <c r="B15" s="28" t="s">
        <v>377</v>
      </c>
      <c r="C15" s="28" t="s">
        <v>222</v>
      </c>
      <c r="D15" s="29" t="b">
        <v>1</v>
      </c>
      <c r="E15" s="28" t="s">
        <v>378</v>
      </c>
      <c r="F15" s="39" t="s">
        <v>379</v>
      </c>
      <c r="G15" s="40"/>
      <c r="H15" s="30">
        <v>45395</v>
      </c>
      <c r="I15" s="28" t="s">
        <v>380</v>
      </c>
      <c r="J15" s="28" t="s">
        <v>381</v>
      </c>
      <c r="K15" s="28" t="s">
        <v>382</v>
      </c>
      <c r="L15" s="28" t="s">
        <v>221</v>
      </c>
      <c r="M15" s="28" t="s">
        <v>303</v>
      </c>
      <c r="N15" s="28" t="s">
        <v>383</v>
      </c>
      <c r="O15" s="30">
        <v>45364</v>
      </c>
      <c r="P15" s="28" t="s">
        <v>384</v>
      </c>
      <c r="Q15" s="31" t="s">
        <v>385</v>
      </c>
      <c r="R15" s="28" t="s">
        <v>305</v>
      </c>
      <c r="S15" s="28" t="s">
        <v>306</v>
      </c>
      <c r="T15" s="28" t="s">
        <v>159</v>
      </c>
      <c r="U15" s="28" t="s">
        <v>285</v>
      </c>
      <c r="V15" s="13">
        <v>42062</v>
      </c>
      <c r="W15" s="30">
        <v>45397</v>
      </c>
      <c r="X15" s="28" t="s">
        <v>159</v>
      </c>
      <c r="Y15" s="30">
        <v>45387</v>
      </c>
      <c r="Z15" s="28" t="s">
        <v>307</v>
      </c>
      <c r="AA15" s="28" t="s">
        <v>353</v>
      </c>
      <c r="AB15" s="28" t="s">
        <v>354</v>
      </c>
      <c r="AC15" s="28" t="s">
        <v>288</v>
      </c>
      <c r="AD15" s="28" t="s">
        <v>386</v>
      </c>
    </row>
    <row r="16" spans="1:30">
      <c r="A16" s="29" t="b">
        <v>1</v>
      </c>
      <c r="B16" s="28" t="s">
        <v>387</v>
      </c>
      <c r="C16" s="28" t="s">
        <v>388</v>
      </c>
      <c r="D16" s="29" t="b">
        <v>1</v>
      </c>
      <c r="E16" s="28" t="s">
        <v>389</v>
      </c>
      <c r="F16" s="39" t="s">
        <v>390</v>
      </c>
      <c r="G16" s="40"/>
      <c r="H16" s="30">
        <v>45409</v>
      </c>
      <c r="I16" s="28" t="s">
        <v>391</v>
      </c>
      <c r="J16" s="39" t="s">
        <v>392</v>
      </c>
      <c r="K16" s="40"/>
      <c r="L16" s="28" t="s">
        <v>223</v>
      </c>
      <c r="M16" s="28" t="s">
        <v>303</v>
      </c>
      <c r="N16" s="28" t="s">
        <v>393</v>
      </c>
      <c r="O16" s="30">
        <v>45402</v>
      </c>
      <c r="P16" s="28" t="s">
        <v>394</v>
      </c>
      <c r="Q16" s="31" t="s">
        <v>395</v>
      </c>
      <c r="R16" s="28" t="s">
        <v>305</v>
      </c>
      <c r="S16" s="28" t="s">
        <v>306</v>
      </c>
      <c r="T16" s="28" t="s">
        <v>187</v>
      </c>
      <c r="U16" s="28" t="s">
        <v>285</v>
      </c>
      <c r="V16" s="13">
        <v>42110</v>
      </c>
      <c r="W16" s="30">
        <v>45397</v>
      </c>
      <c r="X16" s="28" t="s">
        <v>187</v>
      </c>
      <c r="Y16" s="30">
        <v>45391</v>
      </c>
      <c r="Z16" s="28" t="s">
        <v>396</v>
      </c>
      <c r="AA16" s="28" t="s">
        <v>353</v>
      </c>
      <c r="AB16" s="28" t="s">
        <v>287</v>
      </c>
      <c r="AC16" s="28" t="s">
        <v>288</v>
      </c>
      <c r="AD16" s="28" t="s">
        <v>397</v>
      </c>
    </row>
    <row r="17" spans="1:30">
      <c r="A17" s="29" t="b">
        <v>1</v>
      </c>
      <c r="B17" s="28" t="s">
        <v>398</v>
      </c>
      <c r="C17" s="28" t="s">
        <v>399</v>
      </c>
      <c r="D17" s="29" t="b">
        <v>1</v>
      </c>
      <c r="E17" s="28" t="s">
        <v>400</v>
      </c>
      <c r="F17" s="39" t="s">
        <v>401</v>
      </c>
      <c r="G17" s="40"/>
      <c r="H17" s="30">
        <v>45477</v>
      </c>
      <c r="I17" s="28" t="s">
        <v>402</v>
      </c>
      <c r="J17" s="28" t="s">
        <v>403</v>
      </c>
      <c r="K17" s="28" t="s">
        <v>367</v>
      </c>
      <c r="L17" s="39" t="s">
        <v>224</v>
      </c>
      <c r="M17" s="40"/>
      <c r="N17" s="28" t="s">
        <v>404</v>
      </c>
      <c r="O17" s="30">
        <v>45435</v>
      </c>
      <c r="P17" s="28"/>
      <c r="Q17" s="31" t="s">
        <v>405</v>
      </c>
      <c r="R17" s="28" t="s">
        <v>305</v>
      </c>
      <c r="S17" s="28" t="s">
        <v>306</v>
      </c>
      <c r="T17" s="28" t="s">
        <v>65</v>
      </c>
      <c r="U17" s="28" t="s">
        <v>285</v>
      </c>
      <c r="V17" s="13">
        <v>42269</v>
      </c>
      <c r="W17" s="30">
        <v>45516</v>
      </c>
      <c r="X17" s="28" t="s">
        <v>65</v>
      </c>
      <c r="Y17" s="30">
        <v>45401</v>
      </c>
      <c r="Z17" s="28" t="s">
        <v>406</v>
      </c>
      <c r="AA17" s="28" t="s">
        <v>353</v>
      </c>
      <c r="AB17" s="28" t="s">
        <v>287</v>
      </c>
      <c r="AC17" s="28" t="s">
        <v>288</v>
      </c>
      <c r="AD17" s="28" t="s">
        <v>386</v>
      </c>
    </row>
    <row r="18" spans="1:30">
      <c r="A18" s="29" t="b">
        <v>1</v>
      </c>
      <c r="B18" s="28" t="s">
        <v>407</v>
      </c>
      <c r="C18" s="28" t="s">
        <v>218</v>
      </c>
      <c r="D18" s="29" t="b">
        <v>1</v>
      </c>
      <c r="E18" s="28" t="s">
        <v>408</v>
      </c>
      <c r="F18" s="39" t="s">
        <v>409</v>
      </c>
      <c r="G18" s="40"/>
      <c r="H18" s="30">
        <v>45510</v>
      </c>
      <c r="I18" s="13">
        <v>6000000</v>
      </c>
      <c r="J18" s="39" t="s">
        <v>410</v>
      </c>
      <c r="K18" s="40"/>
      <c r="L18" s="28" t="s">
        <v>411</v>
      </c>
      <c r="M18" s="28" t="s">
        <v>303</v>
      </c>
      <c r="N18" s="28" t="s">
        <v>412</v>
      </c>
      <c r="O18" s="30">
        <v>45457</v>
      </c>
      <c r="P18" s="28" t="s">
        <v>394</v>
      </c>
      <c r="Q18" s="31" t="s">
        <v>331</v>
      </c>
      <c r="R18" s="28" t="s">
        <v>305</v>
      </c>
      <c r="S18" s="28" t="s">
        <v>306</v>
      </c>
      <c r="T18" s="28" t="s">
        <v>109</v>
      </c>
      <c r="U18" s="28" t="s">
        <v>285</v>
      </c>
      <c r="V18" s="13">
        <v>42539</v>
      </c>
      <c r="W18" s="30">
        <v>45531</v>
      </c>
      <c r="X18" s="28" t="s">
        <v>109</v>
      </c>
      <c r="Y18" s="30">
        <v>45420</v>
      </c>
      <c r="Z18" s="28" t="s">
        <v>307</v>
      </c>
      <c r="AA18" s="28" t="s">
        <v>286</v>
      </c>
      <c r="AB18" s="28" t="s">
        <v>287</v>
      </c>
      <c r="AC18" s="28" t="s">
        <v>288</v>
      </c>
      <c r="AD18" s="28" t="s">
        <v>413</v>
      </c>
    </row>
    <row r="19" spans="1:30">
      <c r="A19" s="29" t="b">
        <v>1</v>
      </c>
      <c r="B19" s="28"/>
      <c r="C19" s="28" t="s">
        <v>414</v>
      </c>
      <c r="D19" s="29" t="b">
        <v>1</v>
      </c>
      <c r="E19" s="28" t="s">
        <v>415</v>
      </c>
      <c r="F19" s="39" t="s">
        <v>416</v>
      </c>
      <c r="G19" s="40"/>
      <c r="H19" s="30">
        <v>45839</v>
      </c>
      <c r="I19" s="28" t="s">
        <v>417</v>
      </c>
      <c r="J19" s="39" t="s">
        <v>418</v>
      </c>
      <c r="K19" s="40"/>
      <c r="L19" s="28" t="s">
        <v>419</v>
      </c>
      <c r="M19" s="28" t="s">
        <v>303</v>
      </c>
      <c r="N19" s="28" t="s">
        <v>420</v>
      </c>
      <c r="O19" s="30">
        <v>45444</v>
      </c>
      <c r="P19" s="28" t="s">
        <v>394</v>
      </c>
      <c r="Q19" s="31" t="s">
        <v>421</v>
      </c>
      <c r="R19" s="28" t="s">
        <v>305</v>
      </c>
      <c r="S19" s="28" t="s">
        <v>306</v>
      </c>
      <c r="T19" s="28" t="s">
        <v>141</v>
      </c>
      <c r="U19" s="28" t="s">
        <v>285</v>
      </c>
      <c r="V19" s="13">
        <v>42792</v>
      </c>
      <c r="W19" s="30">
        <v>45433</v>
      </c>
      <c r="X19" s="28" t="s">
        <v>141</v>
      </c>
      <c r="Y19" s="30">
        <v>45432</v>
      </c>
      <c r="Z19" s="28" t="s">
        <v>307</v>
      </c>
      <c r="AA19" s="28" t="s">
        <v>286</v>
      </c>
      <c r="AB19" s="28" t="s">
        <v>354</v>
      </c>
      <c r="AC19" s="28" t="s">
        <v>288</v>
      </c>
      <c r="AD19" s="28" t="s">
        <v>422</v>
      </c>
    </row>
    <row r="20" spans="1:30">
      <c r="A20" s="29" t="b">
        <v>1</v>
      </c>
      <c r="B20" s="28" t="s">
        <v>423</v>
      </c>
      <c r="C20" s="28" t="s">
        <v>424</v>
      </c>
      <c r="D20" s="29" t="b">
        <v>1</v>
      </c>
      <c r="E20" s="28" t="s">
        <v>425</v>
      </c>
      <c r="F20" s="39" t="s">
        <v>426</v>
      </c>
      <c r="G20" s="40"/>
      <c r="H20" s="30">
        <v>45555</v>
      </c>
      <c r="I20" s="28" t="s">
        <v>427</v>
      </c>
      <c r="J20" s="28" t="s">
        <v>428</v>
      </c>
      <c r="K20" s="28" t="s">
        <v>429</v>
      </c>
      <c r="L20" s="28" t="s">
        <v>225</v>
      </c>
      <c r="M20" s="28" t="s">
        <v>303</v>
      </c>
      <c r="N20" s="28" t="s">
        <v>430</v>
      </c>
      <c r="O20" s="30">
        <v>45555</v>
      </c>
      <c r="P20" s="28" t="s">
        <v>394</v>
      </c>
      <c r="Q20" s="31" t="s">
        <v>431</v>
      </c>
      <c r="R20" s="28" t="s">
        <v>305</v>
      </c>
      <c r="S20" s="28" t="s">
        <v>306</v>
      </c>
      <c r="T20" s="28" t="s">
        <v>189</v>
      </c>
      <c r="U20" s="28" t="s">
        <v>285</v>
      </c>
      <c r="V20" s="13">
        <v>42801</v>
      </c>
      <c r="W20" s="30">
        <v>45565</v>
      </c>
      <c r="X20" s="28" t="s">
        <v>189</v>
      </c>
      <c r="Y20" s="30">
        <v>45433</v>
      </c>
      <c r="Z20" s="28" t="s">
        <v>307</v>
      </c>
      <c r="AA20" s="28" t="s">
        <v>353</v>
      </c>
      <c r="AB20" s="28" t="s">
        <v>287</v>
      </c>
      <c r="AC20" s="28" t="s">
        <v>288</v>
      </c>
      <c r="AD20" s="28" t="s">
        <v>308</v>
      </c>
    </row>
    <row r="21" spans="1:30">
      <c r="A21" s="29" t="b">
        <v>1</v>
      </c>
      <c r="B21" s="28" t="s">
        <v>433</v>
      </c>
      <c r="C21" s="28" t="s">
        <v>434</v>
      </c>
      <c r="D21" s="29" t="b">
        <v>1</v>
      </c>
      <c r="E21" s="28" t="s">
        <v>435</v>
      </c>
      <c r="F21" s="39" t="s">
        <v>436</v>
      </c>
      <c r="G21" s="40"/>
      <c r="H21" s="30">
        <v>45554</v>
      </c>
      <c r="I21" s="28" t="s">
        <v>437</v>
      </c>
      <c r="J21" s="28" t="s">
        <v>438</v>
      </c>
      <c r="K21" s="28" t="s">
        <v>439</v>
      </c>
      <c r="L21" s="28" t="s">
        <v>440</v>
      </c>
      <c r="M21" s="28" t="s">
        <v>303</v>
      </c>
      <c r="N21" s="28" t="s">
        <v>441</v>
      </c>
      <c r="O21" s="30">
        <v>45456</v>
      </c>
      <c r="P21" s="28" t="s">
        <v>394</v>
      </c>
      <c r="Q21" s="31" t="s">
        <v>442</v>
      </c>
      <c r="R21" s="28" t="s">
        <v>305</v>
      </c>
      <c r="S21" s="28" t="s">
        <v>306</v>
      </c>
      <c r="T21" s="28" t="s">
        <v>43</v>
      </c>
      <c r="U21" s="28" t="s">
        <v>285</v>
      </c>
      <c r="V21" s="13">
        <v>43172</v>
      </c>
      <c r="W21" s="30">
        <v>45456</v>
      </c>
      <c r="X21" s="28" t="s">
        <v>43</v>
      </c>
      <c r="Y21" s="30">
        <v>45450</v>
      </c>
      <c r="Z21" s="28" t="s">
        <v>307</v>
      </c>
      <c r="AA21" s="28" t="s">
        <v>286</v>
      </c>
      <c r="AB21" s="28" t="s">
        <v>287</v>
      </c>
      <c r="AC21" s="28" t="s">
        <v>288</v>
      </c>
      <c r="AD21" s="28" t="s">
        <v>443</v>
      </c>
    </row>
    <row r="22" spans="1:30">
      <c r="A22" s="29" t="b">
        <v>1</v>
      </c>
      <c r="B22" s="28" t="s">
        <v>444</v>
      </c>
      <c r="C22" s="31" t="s">
        <v>445</v>
      </c>
      <c r="D22" s="29" t="b">
        <v>1</v>
      </c>
      <c r="E22" s="28" t="s">
        <v>446</v>
      </c>
      <c r="F22" s="39" t="s">
        <v>447</v>
      </c>
      <c r="G22" s="40"/>
      <c r="H22" s="30">
        <v>45499</v>
      </c>
      <c r="I22" s="28" t="s">
        <v>448</v>
      </c>
      <c r="J22" s="28" t="s">
        <v>449</v>
      </c>
      <c r="K22" s="28" t="s">
        <v>327</v>
      </c>
      <c r="L22" s="28" t="s">
        <v>450</v>
      </c>
      <c r="M22" s="28" t="s">
        <v>303</v>
      </c>
      <c r="N22" s="28" t="s">
        <v>451</v>
      </c>
      <c r="O22" s="30">
        <v>45474</v>
      </c>
      <c r="P22" s="28" t="s">
        <v>394</v>
      </c>
      <c r="Q22" s="31" t="s">
        <v>452</v>
      </c>
      <c r="R22" s="28" t="s">
        <v>305</v>
      </c>
      <c r="S22" s="28" t="s">
        <v>306</v>
      </c>
      <c r="T22" s="28" t="s">
        <v>149</v>
      </c>
      <c r="U22" s="28" t="s">
        <v>285</v>
      </c>
      <c r="V22" s="13">
        <v>43183</v>
      </c>
      <c r="W22" s="30">
        <v>45531</v>
      </c>
      <c r="X22" s="28" t="s">
        <v>149</v>
      </c>
      <c r="Y22" s="30">
        <v>45450</v>
      </c>
      <c r="Z22" s="28" t="s">
        <v>453</v>
      </c>
      <c r="AA22" s="28" t="s">
        <v>286</v>
      </c>
      <c r="AB22" s="28" t="s">
        <v>287</v>
      </c>
      <c r="AC22" s="28" t="s">
        <v>288</v>
      </c>
      <c r="AD22" s="28" t="s">
        <v>333</v>
      </c>
    </row>
    <row r="23" spans="1:30">
      <c r="A23" s="29" t="b">
        <v>1</v>
      </c>
      <c r="B23" s="28" t="s">
        <v>454</v>
      </c>
      <c r="C23" s="31" t="s">
        <v>445</v>
      </c>
      <c r="D23" s="29" t="b">
        <v>1</v>
      </c>
      <c r="E23" s="28" t="s">
        <v>446</v>
      </c>
      <c r="F23" s="39" t="s">
        <v>455</v>
      </c>
      <c r="G23" s="40"/>
      <c r="H23" s="30">
        <v>45499</v>
      </c>
      <c r="I23" s="28" t="s">
        <v>456</v>
      </c>
      <c r="J23" s="28" t="s">
        <v>449</v>
      </c>
      <c r="K23" s="28" t="s">
        <v>367</v>
      </c>
      <c r="L23" s="28" t="s">
        <v>457</v>
      </c>
      <c r="M23" s="28" t="s">
        <v>303</v>
      </c>
      <c r="N23" s="28" t="s">
        <v>458</v>
      </c>
      <c r="O23" s="30">
        <v>45474</v>
      </c>
      <c r="P23" s="28" t="s">
        <v>394</v>
      </c>
      <c r="Q23" s="31" t="s">
        <v>452</v>
      </c>
      <c r="R23" s="28" t="s">
        <v>305</v>
      </c>
      <c r="S23" s="28" t="s">
        <v>306</v>
      </c>
      <c r="T23" s="28" t="s">
        <v>150</v>
      </c>
      <c r="U23" s="28" t="s">
        <v>285</v>
      </c>
      <c r="V23" s="13">
        <v>43524</v>
      </c>
      <c r="W23" s="30">
        <v>45531</v>
      </c>
      <c r="X23" s="28" t="s">
        <v>150</v>
      </c>
      <c r="Y23" s="30">
        <v>45464</v>
      </c>
      <c r="Z23" s="28" t="s">
        <v>307</v>
      </c>
      <c r="AA23" s="28" t="s">
        <v>286</v>
      </c>
      <c r="AB23" s="28" t="s">
        <v>287</v>
      </c>
      <c r="AC23" s="28" t="s">
        <v>288</v>
      </c>
      <c r="AD23" s="28" t="s">
        <v>333</v>
      </c>
    </row>
    <row r="24" spans="1:30">
      <c r="A24" s="29" t="b">
        <v>1</v>
      </c>
      <c r="B24" s="28" t="s">
        <v>459</v>
      </c>
      <c r="C24" s="31" t="s">
        <v>445</v>
      </c>
      <c r="D24" s="29" t="b">
        <v>1</v>
      </c>
      <c r="E24" s="28" t="s">
        <v>446</v>
      </c>
      <c r="F24" s="39" t="s">
        <v>460</v>
      </c>
      <c r="G24" s="40"/>
      <c r="H24" s="30">
        <v>45499</v>
      </c>
      <c r="I24" s="28" t="s">
        <v>448</v>
      </c>
      <c r="J24" s="28" t="s">
        <v>449</v>
      </c>
      <c r="K24" s="28" t="s">
        <v>327</v>
      </c>
      <c r="L24" s="28" t="s">
        <v>450</v>
      </c>
      <c r="M24" s="28" t="s">
        <v>303</v>
      </c>
      <c r="N24" s="28" t="s">
        <v>461</v>
      </c>
      <c r="O24" s="30">
        <v>45474</v>
      </c>
      <c r="P24" s="28" t="s">
        <v>394</v>
      </c>
      <c r="Q24" s="31" t="s">
        <v>452</v>
      </c>
      <c r="R24" s="28" t="s">
        <v>305</v>
      </c>
      <c r="S24" s="28" t="s">
        <v>306</v>
      </c>
      <c r="T24" s="28" t="s">
        <v>151</v>
      </c>
      <c r="U24" s="28" t="s">
        <v>285</v>
      </c>
      <c r="V24" s="13">
        <v>43527</v>
      </c>
      <c r="W24" s="30">
        <v>45531</v>
      </c>
      <c r="X24" s="28" t="s">
        <v>151</v>
      </c>
      <c r="Y24" s="30">
        <v>45464</v>
      </c>
      <c r="Z24" s="28" t="s">
        <v>307</v>
      </c>
      <c r="AA24" s="28" t="s">
        <v>286</v>
      </c>
      <c r="AB24" s="28" t="s">
        <v>287</v>
      </c>
      <c r="AC24" s="28" t="s">
        <v>288</v>
      </c>
      <c r="AD24" s="28" t="s">
        <v>333</v>
      </c>
    </row>
    <row r="25" spans="1:30">
      <c r="A25" s="29" t="b">
        <v>1</v>
      </c>
      <c r="B25" s="28" t="s">
        <v>462</v>
      </c>
      <c r="C25" s="28" t="s">
        <v>463</v>
      </c>
      <c r="D25" s="29" t="b">
        <v>1</v>
      </c>
      <c r="E25" s="28" t="s">
        <v>464</v>
      </c>
      <c r="F25" s="39" t="s">
        <v>465</v>
      </c>
      <c r="G25" s="40"/>
      <c r="H25" s="30">
        <v>45525</v>
      </c>
      <c r="I25" s="28" t="s">
        <v>466</v>
      </c>
      <c r="J25" s="39" t="s">
        <v>467</v>
      </c>
      <c r="K25" s="40"/>
      <c r="L25" s="28" t="s">
        <v>468</v>
      </c>
      <c r="M25" s="28" t="s">
        <v>303</v>
      </c>
      <c r="N25" s="28" t="s">
        <v>469</v>
      </c>
      <c r="O25" s="30">
        <v>45516</v>
      </c>
      <c r="P25" s="28" t="s">
        <v>394</v>
      </c>
      <c r="Q25" s="31" t="s">
        <v>470</v>
      </c>
      <c r="R25" s="28" t="s">
        <v>305</v>
      </c>
      <c r="S25" s="28" t="s">
        <v>306</v>
      </c>
      <c r="T25" s="28" t="s">
        <v>84</v>
      </c>
      <c r="U25" s="28" t="s">
        <v>285</v>
      </c>
      <c r="V25" s="13">
        <v>44054</v>
      </c>
      <c r="W25" s="30">
        <v>45530</v>
      </c>
      <c r="X25" s="28" t="s">
        <v>84</v>
      </c>
      <c r="Y25" s="30">
        <v>45492</v>
      </c>
      <c r="Z25" s="28" t="s">
        <v>307</v>
      </c>
      <c r="AA25" s="28" t="s">
        <v>353</v>
      </c>
      <c r="AB25" s="28" t="s">
        <v>287</v>
      </c>
      <c r="AC25" s="28" t="s">
        <v>288</v>
      </c>
      <c r="AD25" s="28" t="s">
        <v>471</v>
      </c>
    </row>
    <row r="26" spans="1:30">
      <c r="A26" s="29" t="b">
        <v>1</v>
      </c>
      <c r="B26" s="28" t="s">
        <v>472</v>
      </c>
      <c r="C26" s="28" t="s">
        <v>219</v>
      </c>
      <c r="D26" s="29" t="b">
        <v>1</v>
      </c>
      <c r="E26" s="13">
        <v>26</v>
      </c>
      <c r="F26" s="39" t="s">
        <v>473</v>
      </c>
      <c r="G26" s="40"/>
      <c r="H26" s="32">
        <v>45626</v>
      </c>
      <c r="I26" s="33">
        <v>8265000</v>
      </c>
      <c r="J26" s="28" t="s">
        <v>474</v>
      </c>
      <c r="K26" s="28" t="s">
        <v>475</v>
      </c>
      <c r="L26" s="28" t="s">
        <v>476</v>
      </c>
      <c r="M26" s="28" t="s">
        <v>303</v>
      </c>
      <c r="N26" s="28" t="s">
        <v>477</v>
      </c>
      <c r="O26" s="30">
        <v>45503</v>
      </c>
      <c r="P26" s="28" t="s">
        <v>384</v>
      </c>
      <c r="Q26" s="31" t="s">
        <v>352</v>
      </c>
      <c r="R26" s="28" t="s">
        <v>305</v>
      </c>
      <c r="S26" s="28" t="s">
        <v>306</v>
      </c>
      <c r="T26" s="28" t="s">
        <v>180</v>
      </c>
      <c r="U26" s="28" t="s">
        <v>285</v>
      </c>
      <c r="V26" s="13">
        <v>44178</v>
      </c>
      <c r="W26" s="34">
        <v>45499</v>
      </c>
      <c r="X26" s="28" t="s">
        <v>180</v>
      </c>
      <c r="Y26" s="30">
        <v>45498</v>
      </c>
      <c r="Z26" s="28" t="s">
        <v>307</v>
      </c>
      <c r="AA26" s="28" t="s">
        <v>353</v>
      </c>
      <c r="AB26" s="28" t="s">
        <v>354</v>
      </c>
      <c r="AC26" s="28" t="s">
        <v>288</v>
      </c>
      <c r="AD26" s="28" t="s">
        <v>422</v>
      </c>
    </row>
    <row r="27" spans="1:30">
      <c r="A27" s="29" t="b">
        <v>1</v>
      </c>
      <c r="B27" s="28" t="s">
        <v>478</v>
      </c>
      <c r="C27" s="28" t="s">
        <v>219</v>
      </c>
      <c r="D27" s="29" t="b">
        <v>1</v>
      </c>
      <c r="E27" s="28" t="s">
        <v>479</v>
      </c>
      <c r="F27" s="39" t="s">
        <v>480</v>
      </c>
      <c r="G27" s="40"/>
      <c r="H27" s="32">
        <v>45656</v>
      </c>
      <c r="I27" s="28" t="s">
        <v>481</v>
      </c>
      <c r="J27" s="28" t="s">
        <v>474</v>
      </c>
      <c r="K27" s="28" t="s">
        <v>475</v>
      </c>
      <c r="L27" s="28" t="s">
        <v>219</v>
      </c>
      <c r="M27" s="28" t="s">
        <v>303</v>
      </c>
      <c r="N27" s="28" t="s">
        <v>482</v>
      </c>
      <c r="O27" s="30">
        <v>45503</v>
      </c>
      <c r="P27" s="28" t="s">
        <v>384</v>
      </c>
      <c r="Q27" s="31" t="s">
        <v>352</v>
      </c>
      <c r="R27" s="28" t="s">
        <v>305</v>
      </c>
      <c r="S27" s="28" t="s">
        <v>306</v>
      </c>
      <c r="T27" s="28" t="s">
        <v>169</v>
      </c>
      <c r="U27" s="28" t="s">
        <v>285</v>
      </c>
      <c r="V27" s="13">
        <v>44179</v>
      </c>
      <c r="W27" s="30">
        <v>45499</v>
      </c>
      <c r="X27" s="28" t="s">
        <v>169</v>
      </c>
      <c r="Y27" s="30">
        <v>45498</v>
      </c>
      <c r="Z27" s="28" t="s">
        <v>307</v>
      </c>
      <c r="AA27" s="28" t="s">
        <v>353</v>
      </c>
      <c r="AB27" s="28" t="s">
        <v>354</v>
      </c>
      <c r="AC27" s="28" t="s">
        <v>288</v>
      </c>
      <c r="AD27" s="28" t="s">
        <v>422</v>
      </c>
    </row>
    <row r="28" spans="1:30">
      <c r="A28" s="29" t="b">
        <v>1</v>
      </c>
      <c r="B28" s="28" t="s">
        <v>483</v>
      </c>
      <c r="C28" s="28" t="s">
        <v>484</v>
      </c>
      <c r="D28" s="29" t="b">
        <v>1</v>
      </c>
      <c r="E28" s="28" t="s">
        <v>485</v>
      </c>
      <c r="F28" s="39" t="s">
        <v>486</v>
      </c>
      <c r="G28" s="40"/>
      <c r="H28" s="30">
        <v>45532</v>
      </c>
      <c r="I28" s="28" t="s">
        <v>487</v>
      </c>
      <c r="J28" s="39" t="s">
        <v>488</v>
      </c>
      <c r="K28" s="40"/>
      <c r="L28" s="28" t="s">
        <v>489</v>
      </c>
      <c r="M28" s="28" t="s">
        <v>303</v>
      </c>
      <c r="N28" s="28" t="s">
        <v>490</v>
      </c>
      <c r="O28" s="30">
        <v>45532</v>
      </c>
      <c r="P28" s="28" t="s">
        <v>394</v>
      </c>
      <c r="Q28" s="31" t="s">
        <v>491</v>
      </c>
      <c r="R28" s="28" t="s">
        <v>305</v>
      </c>
      <c r="S28" s="28" t="s">
        <v>306</v>
      </c>
      <c r="T28" s="28" t="s">
        <v>240</v>
      </c>
      <c r="U28" s="28" t="s">
        <v>285</v>
      </c>
      <c r="V28" s="13">
        <v>44203</v>
      </c>
      <c r="W28" s="30">
        <v>45516</v>
      </c>
      <c r="X28" s="28" t="s">
        <v>240</v>
      </c>
      <c r="Y28" s="30">
        <v>45499</v>
      </c>
      <c r="Z28" s="28" t="s">
        <v>307</v>
      </c>
      <c r="AA28" s="28" t="s">
        <v>353</v>
      </c>
      <c r="AB28" s="28" t="s">
        <v>287</v>
      </c>
      <c r="AC28" s="28" t="s">
        <v>288</v>
      </c>
      <c r="AD28" s="28" t="s">
        <v>492</v>
      </c>
    </row>
    <row r="29" spans="1:30">
      <c r="A29" s="29" t="b">
        <v>1</v>
      </c>
      <c r="B29" s="28"/>
      <c r="C29" s="28" t="s">
        <v>493</v>
      </c>
      <c r="D29" s="29" t="b">
        <v>1</v>
      </c>
      <c r="E29" s="28" t="s">
        <v>435</v>
      </c>
      <c r="F29" s="39" t="s">
        <v>494</v>
      </c>
      <c r="G29" s="40"/>
      <c r="H29" s="32">
        <v>45615</v>
      </c>
      <c r="I29" s="13">
        <v>9785000</v>
      </c>
      <c r="J29" s="28"/>
      <c r="K29" s="28"/>
      <c r="L29" s="39" t="s">
        <v>495</v>
      </c>
      <c r="M29" s="40"/>
      <c r="N29" s="28" t="s">
        <v>496</v>
      </c>
      <c r="O29" s="30">
        <v>45523</v>
      </c>
      <c r="P29" s="28"/>
      <c r="Q29" s="41" t="s">
        <v>497</v>
      </c>
      <c r="R29" s="40"/>
      <c r="S29" s="40"/>
      <c r="T29" s="28" t="s">
        <v>2</v>
      </c>
      <c r="U29" s="28" t="s">
        <v>285</v>
      </c>
      <c r="V29" s="13">
        <v>44435</v>
      </c>
      <c r="W29" s="30">
        <v>45513</v>
      </c>
      <c r="X29" s="28" t="s">
        <v>2</v>
      </c>
      <c r="Y29" s="30">
        <v>45513</v>
      </c>
      <c r="Z29" s="28"/>
      <c r="AA29" s="28" t="s">
        <v>286</v>
      </c>
      <c r="AB29" s="28" t="s">
        <v>354</v>
      </c>
      <c r="AC29" s="28" t="s">
        <v>288</v>
      </c>
      <c r="AD29" s="28" t="s">
        <v>422</v>
      </c>
    </row>
    <row r="30" spans="1:30">
      <c r="A30" s="29" t="b">
        <v>1</v>
      </c>
      <c r="B30" s="28" t="s">
        <v>498</v>
      </c>
      <c r="C30" s="28" t="s">
        <v>493</v>
      </c>
      <c r="D30" s="29" t="b">
        <v>1</v>
      </c>
      <c r="E30" s="28" t="s">
        <v>499</v>
      </c>
      <c r="F30" s="29" t="e">
        <v>#NAME?</v>
      </c>
      <c r="G30" s="28"/>
      <c r="H30" s="30">
        <v>45707</v>
      </c>
      <c r="I30" s="28" t="s">
        <v>500</v>
      </c>
      <c r="J30" s="39" t="s">
        <v>501</v>
      </c>
      <c r="K30" s="40"/>
      <c r="L30" s="28" t="s">
        <v>502</v>
      </c>
      <c r="M30" s="28" t="s">
        <v>303</v>
      </c>
      <c r="N30" s="28" t="s">
        <v>503</v>
      </c>
      <c r="O30" s="30">
        <v>45523</v>
      </c>
      <c r="P30" s="28" t="s">
        <v>384</v>
      </c>
      <c r="Q30" s="31" t="s">
        <v>497</v>
      </c>
      <c r="R30" s="28" t="s">
        <v>305</v>
      </c>
      <c r="S30" s="28" t="s">
        <v>306</v>
      </c>
      <c r="T30" s="28" t="s">
        <v>2</v>
      </c>
      <c r="U30" s="28" t="s">
        <v>285</v>
      </c>
      <c r="V30" s="13">
        <v>44438</v>
      </c>
      <c r="W30" s="30">
        <v>45520</v>
      </c>
      <c r="X30" s="28" t="s">
        <v>2</v>
      </c>
      <c r="Y30" s="30">
        <v>45513</v>
      </c>
      <c r="Z30" s="28" t="s">
        <v>504</v>
      </c>
      <c r="AA30" s="28" t="s">
        <v>353</v>
      </c>
      <c r="AB30" s="28" t="s">
        <v>354</v>
      </c>
      <c r="AC30" s="28" t="s">
        <v>288</v>
      </c>
      <c r="AD30" s="28" t="s">
        <v>422</v>
      </c>
    </row>
    <row r="31" spans="1:30">
      <c r="A31" s="29" t="b">
        <v>1</v>
      </c>
      <c r="B31" s="28" t="s">
        <v>505</v>
      </c>
      <c r="C31" s="28" t="s">
        <v>493</v>
      </c>
      <c r="D31" s="29" t="b">
        <v>1</v>
      </c>
      <c r="E31" s="28" t="s">
        <v>499</v>
      </c>
      <c r="F31" s="39" t="s">
        <v>506</v>
      </c>
      <c r="G31" s="40"/>
      <c r="H31" s="30">
        <v>45707</v>
      </c>
      <c r="I31" s="28" t="s">
        <v>507</v>
      </c>
      <c r="J31" s="39" t="s">
        <v>508</v>
      </c>
      <c r="K31" s="40"/>
      <c r="L31" s="28" t="s">
        <v>509</v>
      </c>
      <c r="M31" s="28" t="s">
        <v>510</v>
      </c>
      <c r="N31" s="28" t="s">
        <v>511</v>
      </c>
      <c r="O31" s="30">
        <v>45523</v>
      </c>
      <c r="P31" s="28" t="s">
        <v>384</v>
      </c>
      <c r="Q31" s="31" t="s">
        <v>497</v>
      </c>
      <c r="R31" s="28" t="s">
        <v>512</v>
      </c>
      <c r="S31" s="28" t="s">
        <v>306</v>
      </c>
      <c r="T31" s="28" t="s">
        <v>513</v>
      </c>
      <c r="U31" s="28" t="s">
        <v>285</v>
      </c>
      <c r="V31" s="13">
        <v>44448</v>
      </c>
      <c r="W31" s="30">
        <v>45520</v>
      </c>
      <c r="X31" s="28" t="s">
        <v>513</v>
      </c>
      <c r="Y31" s="30">
        <v>45516</v>
      </c>
      <c r="Z31" s="28" t="s">
        <v>307</v>
      </c>
      <c r="AA31" s="28" t="s">
        <v>353</v>
      </c>
      <c r="AB31" s="28" t="s">
        <v>287</v>
      </c>
      <c r="AC31" s="28" t="s">
        <v>288</v>
      </c>
      <c r="AD31" s="28" t="s">
        <v>422</v>
      </c>
    </row>
    <row r="32" spans="1:30">
      <c r="A32" s="29" t="b">
        <v>1</v>
      </c>
      <c r="B32" s="28" t="s">
        <v>514</v>
      </c>
      <c r="C32" s="28" t="s">
        <v>493</v>
      </c>
      <c r="D32" s="29" t="b">
        <v>1</v>
      </c>
      <c r="E32" s="28" t="s">
        <v>499</v>
      </c>
      <c r="F32" s="39" t="s">
        <v>515</v>
      </c>
      <c r="G32" s="40"/>
      <c r="H32" s="30">
        <v>45707</v>
      </c>
      <c r="I32" s="28" t="s">
        <v>507</v>
      </c>
      <c r="J32" s="39" t="s">
        <v>508</v>
      </c>
      <c r="K32" s="40"/>
      <c r="L32" s="28" t="s">
        <v>516</v>
      </c>
      <c r="M32" s="28" t="s">
        <v>510</v>
      </c>
      <c r="N32" s="28" t="s">
        <v>517</v>
      </c>
      <c r="O32" s="30">
        <v>45523</v>
      </c>
      <c r="P32" s="28" t="s">
        <v>384</v>
      </c>
      <c r="Q32" s="31" t="s">
        <v>497</v>
      </c>
      <c r="R32" s="28" t="s">
        <v>512</v>
      </c>
      <c r="S32" s="28" t="s">
        <v>306</v>
      </c>
      <c r="T32" s="28" t="s">
        <v>170</v>
      </c>
      <c r="U32" s="28" t="s">
        <v>285</v>
      </c>
      <c r="V32" s="13">
        <v>44449</v>
      </c>
      <c r="W32" s="30">
        <v>45520</v>
      </c>
      <c r="X32" s="28" t="s">
        <v>170</v>
      </c>
      <c r="Y32" s="30">
        <v>45516</v>
      </c>
      <c r="Z32" s="28" t="s">
        <v>307</v>
      </c>
      <c r="AA32" s="28" t="s">
        <v>353</v>
      </c>
      <c r="AB32" s="28" t="s">
        <v>354</v>
      </c>
      <c r="AC32" s="28" t="s">
        <v>288</v>
      </c>
      <c r="AD32" s="28" t="s">
        <v>422</v>
      </c>
    </row>
    <row r="33" spans="1:30">
      <c r="A33" s="29" t="b">
        <v>1</v>
      </c>
      <c r="B33" s="28" t="s">
        <v>518</v>
      </c>
      <c r="C33" s="28" t="s">
        <v>519</v>
      </c>
      <c r="D33" s="29" t="b">
        <v>1</v>
      </c>
      <c r="E33" s="28" t="s">
        <v>520</v>
      </c>
      <c r="F33" s="39" t="s">
        <v>521</v>
      </c>
      <c r="G33" s="40"/>
      <c r="H33" s="30">
        <v>45565</v>
      </c>
      <c r="I33" s="28" t="s">
        <v>522</v>
      </c>
      <c r="J33" s="39" t="s">
        <v>523</v>
      </c>
      <c r="K33" s="40"/>
      <c r="L33" s="28" t="s">
        <v>229</v>
      </c>
      <c r="M33" s="28" t="s">
        <v>303</v>
      </c>
      <c r="N33" s="28" t="s">
        <v>524</v>
      </c>
      <c r="O33" s="30">
        <v>45540</v>
      </c>
      <c r="P33" s="28" t="s">
        <v>525</v>
      </c>
      <c r="Q33" s="31" t="s">
        <v>526</v>
      </c>
      <c r="R33" s="28" t="s">
        <v>512</v>
      </c>
      <c r="S33" s="28" t="s">
        <v>306</v>
      </c>
      <c r="T33" s="28" t="s">
        <v>527</v>
      </c>
      <c r="U33" s="28" t="s">
        <v>285</v>
      </c>
      <c r="V33" s="13">
        <v>44793</v>
      </c>
      <c r="W33" s="30">
        <v>45568</v>
      </c>
      <c r="X33" s="28" t="s">
        <v>527</v>
      </c>
      <c r="Y33" s="30">
        <v>45540</v>
      </c>
      <c r="Z33" s="28" t="s">
        <v>528</v>
      </c>
      <c r="AA33" s="28" t="s">
        <v>353</v>
      </c>
      <c r="AB33" s="28" t="s">
        <v>287</v>
      </c>
      <c r="AC33" s="28" t="s">
        <v>288</v>
      </c>
      <c r="AD33" s="28" t="s">
        <v>492</v>
      </c>
    </row>
    <row r="34" spans="1:30">
      <c r="A34" s="29" t="b">
        <v>1</v>
      </c>
      <c r="B34" s="28" t="s">
        <v>529</v>
      </c>
      <c r="C34" s="28" t="s">
        <v>218</v>
      </c>
      <c r="D34" s="29" t="b">
        <v>1</v>
      </c>
      <c r="E34" s="28" t="s">
        <v>530</v>
      </c>
      <c r="F34" s="39" t="s">
        <v>531</v>
      </c>
      <c r="G34" s="40"/>
      <c r="H34" s="32">
        <v>45614</v>
      </c>
      <c r="I34" s="28" t="s">
        <v>532</v>
      </c>
      <c r="J34" s="28" t="s">
        <v>533</v>
      </c>
      <c r="K34" s="28" t="s">
        <v>534</v>
      </c>
      <c r="L34" s="28" t="s">
        <v>411</v>
      </c>
      <c r="M34" s="28" t="s">
        <v>303</v>
      </c>
      <c r="N34" s="28" t="s">
        <v>535</v>
      </c>
      <c r="O34" s="30">
        <v>45572</v>
      </c>
      <c r="P34" s="28" t="s">
        <v>394</v>
      </c>
      <c r="Q34" s="31" t="s">
        <v>331</v>
      </c>
      <c r="R34" s="28" t="s">
        <v>305</v>
      </c>
      <c r="S34" s="28" t="s">
        <v>306</v>
      </c>
      <c r="T34" s="28" t="s">
        <v>168</v>
      </c>
      <c r="U34" s="28" t="s">
        <v>285</v>
      </c>
      <c r="V34" s="13">
        <v>44973</v>
      </c>
      <c r="W34" s="30">
        <v>45567</v>
      </c>
      <c r="X34" s="28" t="s">
        <v>168</v>
      </c>
      <c r="Y34" s="30">
        <v>45553</v>
      </c>
      <c r="Z34" s="28" t="s">
        <v>307</v>
      </c>
      <c r="AA34" s="28" t="s">
        <v>353</v>
      </c>
      <c r="AB34" s="28" t="s">
        <v>287</v>
      </c>
      <c r="AC34" s="28" t="s">
        <v>288</v>
      </c>
      <c r="AD34" s="28" t="s">
        <v>422</v>
      </c>
    </row>
    <row r="35" spans="1:30">
      <c r="A35" s="29" t="b">
        <v>1</v>
      </c>
      <c r="B35" s="28" t="s">
        <v>536</v>
      </c>
      <c r="C35" s="28" t="s">
        <v>218</v>
      </c>
      <c r="D35" s="29" t="b">
        <v>1</v>
      </c>
      <c r="E35" s="28" t="s">
        <v>537</v>
      </c>
      <c r="F35" s="39" t="s">
        <v>538</v>
      </c>
      <c r="G35" s="40"/>
      <c r="H35" s="32">
        <v>45624</v>
      </c>
      <c r="I35" s="28" t="s">
        <v>532</v>
      </c>
      <c r="J35" s="28" t="s">
        <v>539</v>
      </c>
      <c r="K35" s="28" t="s">
        <v>540</v>
      </c>
      <c r="L35" s="28" t="s">
        <v>411</v>
      </c>
      <c r="M35" s="28" t="s">
        <v>303</v>
      </c>
      <c r="N35" s="29" t="e">
        <v>#NAME?</v>
      </c>
      <c r="O35" s="30">
        <v>45483</v>
      </c>
      <c r="P35" s="28" t="s">
        <v>394</v>
      </c>
      <c r="Q35" s="31" t="s">
        <v>331</v>
      </c>
      <c r="R35" s="28" t="s">
        <v>305</v>
      </c>
      <c r="S35" s="28" t="s">
        <v>306</v>
      </c>
      <c r="T35" s="28" t="s">
        <v>107</v>
      </c>
      <c r="U35" s="28" t="s">
        <v>285</v>
      </c>
      <c r="V35" s="13">
        <v>44974</v>
      </c>
      <c r="W35" s="30">
        <v>45567</v>
      </c>
      <c r="X35" s="28" t="s">
        <v>107</v>
      </c>
      <c r="Y35" s="30">
        <v>45553</v>
      </c>
      <c r="Z35" s="28" t="s">
        <v>307</v>
      </c>
      <c r="AA35" s="28" t="s">
        <v>353</v>
      </c>
      <c r="AB35" s="28" t="s">
        <v>287</v>
      </c>
      <c r="AC35" s="28" t="s">
        <v>288</v>
      </c>
      <c r="AD35" s="28" t="s">
        <v>422</v>
      </c>
    </row>
    <row r="36" spans="1:30">
      <c r="A36" s="29" t="b">
        <v>1</v>
      </c>
      <c r="B36" s="28" t="s">
        <v>541</v>
      </c>
      <c r="C36" s="28" t="s">
        <v>230</v>
      </c>
      <c r="D36" s="29" t="b">
        <v>1</v>
      </c>
      <c r="E36" s="28" t="s">
        <v>542</v>
      </c>
      <c r="F36" s="39" t="s">
        <v>543</v>
      </c>
      <c r="G36" s="40"/>
      <c r="H36" s="30">
        <v>45662</v>
      </c>
      <c r="I36" s="13">
        <v>10500000</v>
      </c>
      <c r="J36" s="28" t="s">
        <v>544</v>
      </c>
      <c r="K36" s="28" t="s">
        <v>545</v>
      </c>
      <c r="L36" s="28" t="s">
        <v>546</v>
      </c>
      <c r="M36" s="28" t="s">
        <v>303</v>
      </c>
      <c r="N36" s="28" t="s">
        <v>547</v>
      </c>
      <c r="O36" s="30">
        <v>45570</v>
      </c>
      <c r="P36" s="28" t="s">
        <v>525</v>
      </c>
      <c r="Q36" s="31" t="s">
        <v>548</v>
      </c>
      <c r="R36" s="28" t="s">
        <v>512</v>
      </c>
      <c r="S36" s="28" t="s">
        <v>306</v>
      </c>
      <c r="T36" s="28" t="s">
        <v>432</v>
      </c>
      <c r="U36" s="28" t="s">
        <v>285</v>
      </c>
      <c r="V36" s="13">
        <v>45112</v>
      </c>
      <c r="W36" s="30">
        <v>45568</v>
      </c>
      <c r="X36" s="28" t="s">
        <v>432</v>
      </c>
      <c r="Y36" s="30">
        <v>45562</v>
      </c>
      <c r="Z36" s="28" t="s">
        <v>307</v>
      </c>
      <c r="AA36" s="28" t="s">
        <v>353</v>
      </c>
      <c r="AB36" s="28" t="s">
        <v>287</v>
      </c>
      <c r="AC36" s="28" t="s">
        <v>288</v>
      </c>
      <c r="AD36" s="28" t="s">
        <v>549</v>
      </c>
    </row>
    <row r="37" spans="1:30">
      <c r="A37" s="29" t="b">
        <v>1</v>
      </c>
      <c r="B37" s="28" t="s">
        <v>550</v>
      </c>
      <c r="C37" s="28" t="s">
        <v>218</v>
      </c>
      <c r="D37" s="29" t="b">
        <v>1</v>
      </c>
      <c r="E37" s="28" t="s">
        <v>551</v>
      </c>
      <c r="F37" s="39" t="s">
        <v>552</v>
      </c>
      <c r="G37" s="40"/>
      <c r="H37" s="32">
        <v>45614</v>
      </c>
      <c r="I37" s="28" t="s">
        <v>532</v>
      </c>
      <c r="J37" s="39" t="s">
        <v>539</v>
      </c>
      <c r="K37" s="40"/>
      <c r="L37" s="28" t="s">
        <v>411</v>
      </c>
      <c r="M37" s="28" t="s">
        <v>303</v>
      </c>
      <c r="N37" s="28" t="s">
        <v>553</v>
      </c>
      <c r="O37" s="30">
        <v>45572</v>
      </c>
      <c r="P37" s="28" t="s">
        <v>394</v>
      </c>
      <c r="Q37" s="31" t="s">
        <v>331</v>
      </c>
      <c r="R37" s="28" t="s">
        <v>305</v>
      </c>
      <c r="S37" s="28" t="s">
        <v>306</v>
      </c>
      <c r="T37" s="28" t="s">
        <v>145</v>
      </c>
      <c r="U37" s="28" t="s">
        <v>285</v>
      </c>
      <c r="V37" s="13">
        <v>45128</v>
      </c>
      <c r="W37" s="30">
        <v>45567</v>
      </c>
      <c r="X37" s="28" t="s">
        <v>145</v>
      </c>
      <c r="Y37" s="30">
        <v>45565</v>
      </c>
      <c r="Z37" s="28" t="s">
        <v>307</v>
      </c>
      <c r="AA37" s="28" t="s">
        <v>353</v>
      </c>
      <c r="AB37" s="28" t="s">
        <v>287</v>
      </c>
      <c r="AC37" s="28" t="s">
        <v>288</v>
      </c>
      <c r="AD37" s="28" t="s">
        <v>422</v>
      </c>
    </row>
    <row r="38" spans="1:30">
      <c r="A38" s="29" t="b">
        <v>1</v>
      </c>
      <c r="B38" s="28"/>
      <c r="C38" s="28" t="s">
        <v>230</v>
      </c>
      <c r="D38" s="29" t="b">
        <v>1</v>
      </c>
      <c r="E38" s="28" t="s">
        <v>554</v>
      </c>
      <c r="F38" s="39" t="s">
        <v>555</v>
      </c>
      <c r="G38" s="40"/>
      <c r="H38" s="30">
        <v>45703</v>
      </c>
      <c r="I38" s="28" t="s">
        <v>556</v>
      </c>
      <c r="J38" s="28"/>
      <c r="K38" s="28"/>
      <c r="L38" s="39" t="s">
        <v>557</v>
      </c>
      <c r="M38" s="40"/>
      <c r="N38" s="28" t="s">
        <v>558</v>
      </c>
      <c r="O38" s="32">
        <v>45580</v>
      </c>
      <c r="P38" s="28"/>
      <c r="Q38" s="41" t="s">
        <v>559</v>
      </c>
      <c r="R38" s="40"/>
      <c r="S38" s="40"/>
      <c r="T38" s="28" t="s">
        <v>560</v>
      </c>
      <c r="U38" s="28" t="s">
        <v>285</v>
      </c>
      <c r="V38" s="13">
        <v>45132</v>
      </c>
      <c r="W38" s="30">
        <v>45565</v>
      </c>
      <c r="X38" s="28" t="s">
        <v>560</v>
      </c>
      <c r="Y38" s="30">
        <v>45565</v>
      </c>
      <c r="Z38" s="28" t="s">
        <v>561</v>
      </c>
      <c r="AA38" s="28" t="s">
        <v>332</v>
      </c>
      <c r="AB38" s="28" t="s">
        <v>287</v>
      </c>
      <c r="AC38" s="28" t="s">
        <v>288</v>
      </c>
      <c r="AD38" s="28" t="s">
        <v>549</v>
      </c>
    </row>
    <row r="39" spans="1:30">
      <c r="A39" s="29" t="b">
        <v>1</v>
      </c>
      <c r="B39" s="28"/>
      <c r="C39" s="28" t="s">
        <v>562</v>
      </c>
      <c r="D39" s="29" t="b">
        <v>1</v>
      </c>
      <c r="E39" s="28" t="s">
        <v>278</v>
      </c>
      <c r="F39" s="28" t="s">
        <v>278</v>
      </c>
      <c r="G39" s="28"/>
      <c r="H39" s="32">
        <v>45581</v>
      </c>
      <c r="I39" s="13">
        <v>5750000</v>
      </c>
      <c r="J39" s="28"/>
      <c r="K39" s="28" t="s">
        <v>278</v>
      </c>
      <c r="L39" s="39" t="s">
        <v>224</v>
      </c>
      <c r="M39" s="40"/>
      <c r="N39" s="28" t="s">
        <v>278</v>
      </c>
      <c r="O39" s="30">
        <v>45574</v>
      </c>
      <c r="P39" s="28"/>
      <c r="Q39" s="41" t="s">
        <v>405</v>
      </c>
      <c r="R39" s="40"/>
      <c r="S39" s="40"/>
      <c r="T39" s="28" t="s">
        <v>563</v>
      </c>
      <c r="U39" s="28" t="s">
        <v>285</v>
      </c>
      <c r="V39" s="13">
        <v>45141</v>
      </c>
      <c r="W39" s="30">
        <v>45566</v>
      </c>
      <c r="X39" s="28" t="s">
        <v>563</v>
      </c>
      <c r="Y39" s="30">
        <v>45566</v>
      </c>
      <c r="Z39" s="28"/>
      <c r="AA39" s="28" t="s">
        <v>332</v>
      </c>
      <c r="AB39" s="28" t="s">
        <v>287</v>
      </c>
      <c r="AC39" s="28" t="s">
        <v>288</v>
      </c>
      <c r="AD39" s="28" t="s">
        <v>289</v>
      </c>
    </row>
  </sheetData>
  <mergeCells count="58">
    <mergeCell ref="L29:M29"/>
    <mergeCell ref="Q29:S29"/>
    <mergeCell ref="F31:G31"/>
    <mergeCell ref="F25:G25"/>
    <mergeCell ref="J25:K25"/>
    <mergeCell ref="F26:G26"/>
    <mergeCell ref="J30:K30"/>
    <mergeCell ref="J31:K31"/>
    <mergeCell ref="F27:G27"/>
    <mergeCell ref="F28:G28"/>
    <mergeCell ref="J28:K28"/>
    <mergeCell ref="F29:G29"/>
    <mergeCell ref="F20:G20"/>
    <mergeCell ref="F21:G21"/>
    <mergeCell ref="F22:G22"/>
    <mergeCell ref="F23:G23"/>
    <mergeCell ref="F24:G24"/>
    <mergeCell ref="F17:G17"/>
    <mergeCell ref="L17:M17"/>
    <mergeCell ref="F18:G18"/>
    <mergeCell ref="J18:K18"/>
    <mergeCell ref="F19:G19"/>
    <mergeCell ref="J19:K19"/>
    <mergeCell ref="F14:G14"/>
    <mergeCell ref="L14:M14"/>
    <mergeCell ref="Q14:S14"/>
    <mergeCell ref="F15:G15"/>
    <mergeCell ref="F16:G16"/>
    <mergeCell ref="J16:K16"/>
    <mergeCell ref="F11:G11"/>
    <mergeCell ref="F12:G12"/>
    <mergeCell ref="L12:M12"/>
    <mergeCell ref="Q12:S12"/>
    <mergeCell ref="F13:G13"/>
    <mergeCell ref="F8:G8"/>
    <mergeCell ref="J8:K8"/>
    <mergeCell ref="F9:G9"/>
    <mergeCell ref="F10:G10"/>
    <mergeCell ref="J10:K10"/>
    <mergeCell ref="J6:L6"/>
    <mergeCell ref="M6:O6"/>
    <mergeCell ref="P6:Q6"/>
    <mergeCell ref="F7:G7"/>
    <mergeCell ref="J7:K7"/>
    <mergeCell ref="L39:M39"/>
    <mergeCell ref="Q39:S39"/>
    <mergeCell ref="F32:G32"/>
    <mergeCell ref="J32:K32"/>
    <mergeCell ref="F33:G33"/>
    <mergeCell ref="J33:K33"/>
    <mergeCell ref="F34:G34"/>
    <mergeCell ref="F35:G35"/>
    <mergeCell ref="F36:G36"/>
    <mergeCell ref="F37:G37"/>
    <mergeCell ref="J37:K37"/>
    <mergeCell ref="F38:G38"/>
    <mergeCell ref="L38:M38"/>
    <mergeCell ref="Q38:S38"/>
  </mergeCells>
  <hyperlinks>
    <hyperlink ref="Q2" r:id="rId1" xr:uid="{00000000-0004-0000-0C00-000000000000}"/>
    <hyperlink ref="Q3" r:id="rId2" location="slide=id.g24d0c03fa55_0_2" xr:uid="{00000000-0004-0000-0C00-000001000000}"/>
    <hyperlink ref="Q4" r:id="rId3" location="slide=id.g24d0c03fa55_0_2" xr:uid="{00000000-0004-0000-0C00-000002000000}"/>
    <hyperlink ref="Q5" r:id="rId4" xr:uid="{00000000-0004-0000-0C00-000003000000}"/>
    <hyperlink ref="Q7" r:id="rId5" xr:uid="{00000000-0004-0000-0C00-000004000000}"/>
    <hyperlink ref="Q8" r:id="rId6" xr:uid="{00000000-0004-0000-0C00-000005000000}"/>
    <hyperlink ref="Q9" r:id="rId7" xr:uid="{00000000-0004-0000-0C00-000006000000}"/>
    <hyperlink ref="Q10" r:id="rId8" xr:uid="{00000000-0004-0000-0C00-000007000000}"/>
    <hyperlink ref="Q11" r:id="rId9" xr:uid="{00000000-0004-0000-0C00-000008000000}"/>
    <hyperlink ref="Q12" r:id="rId10" xr:uid="{00000000-0004-0000-0C00-000009000000}"/>
    <hyperlink ref="Q13" r:id="rId11" xr:uid="{00000000-0004-0000-0C00-00000A000000}"/>
    <hyperlink ref="Q14" r:id="rId12" xr:uid="{00000000-0004-0000-0C00-00000B000000}"/>
    <hyperlink ref="Q15" r:id="rId13" xr:uid="{00000000-0004-0000-0C00-00000C000000}"/>
    <hyperlink ref="Q16" r:id="rId14" xr:uid="{00000000-0004-0000-0C00-00000D000000}"/>
    <hyperlink ref="Q17" r:id="rId15" xr:uid="{00000000-0004-0000-0C00-00000E000000}"/>
    <hyperlink ref="Q18" r:id="rId16" xr:uid="{00000000-0004-0000-0C00-00000F000000}"/>
    <hyperlink ref="Q19" r:id="rId17" xr:uid="{00000000-0004-0000-0C00-000010000000}"/>
    <hyperlink ref="Q20" r:id="rId18" xr:uid="{00000000-0004-0000-0C00-000011000000}"/>
    <hyperlink ref="Q21" r:id="rId19" xr:uid="{00000000-0004-0000-0C00-000012000000}"/>
    <hyperlink ref="C22" r:id="rId20" xr:uid="{00000000-0004-0000-0C00-000013000000}"/>
    <hyperlink ref="Q22" r:id="rId21" xr:uid="{00000000-0004-0000-0C00-000014000000}"/>
    <hyperlink ref="C23" r:id="rId22" xr:uid="{00000000-0004-0000-0C00-000015000000}"/>
    <hyperlink ref="Q23" r:id="rId23" xr:uid="{00000000-0004-0000-0C00-000016000000}"/>
    <hyperlink ref="C24" r:id="rId24" xr:uid="{00000000-0004-0000-0C00-000017000000}"/>
    <hyperlink ref="Q24" r:id="rId25" xr:uid="{00000000-0004-0000-0C00-000018000000}"/>
    <hyperlink ref="Q25" r:id="rId26" xr:uid="{00000000-0004-0000-0C00-000019000000}"/>
    <hyperlink ref="Q26" r:id="rId27" xr:uid="{00000000-0004-0000-0C00-00001A000000}"/>
    <hyperlink ref="Q27" r:id="rId28" xr:uid="{00000000-0004-0000-0C00-00001B000000}"/>
    <hyperlink ref="Q28" r:id="rId29" xr:uid="{00000000-0004-0000-0C00-00001C000000}"/>
    <hyperlink ref="Q29" r:id="rId30" xr:uid="{00000000-0004-0000-0C00-00001D000000}"/>
    <hyperlink ref="Q30" r:id="rId31" xr:uid="{00000000-0004-0000-0C00-00001E000000}"/>
    <hyperlink ref="Q31" r:id="rId32" xr:uid="{00000000-0004-0000-0C00-00001F000000}"/>
    <hyperlink ref="Q32" r:id="rId33" xr:uid="{00000000-0004-0000-0C00-000020000000}"/>
    <hyperlink ref="Q33" r:id="rId34" xr:uid="{00000000-0004-0000-0C00-000021000000}"/>
    <hyperlink ref="Q34" r:id="rId35" xr:uid="{00000000-0004-0000-0C00-000022000000}"/>
    <hyperlink ref="Q35" r:id="rId36" xr:uid="{00000000-0004-0000-0C00-000023000000}"/>
    <hyperlink ref="Q36" r:id="rId37" xr:uid="{00000000-0004-0000-0C00-000024000000}"/>
    <hyperlink ref="Q37" r:id="rId38" xr:uid="{00000000-0004-0000-0C00-000025000000}"/>
    <hyperlink ref="Q38" r:id="rId39" xr:uid="{00000000-0004-0000-0C00-000026000000}"/>
    <hyperlink ref="Q39" r:id="rId40" xr:uid="{00000000-0004-0000-0C00-000027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K5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625" defaultRowHeight="15.8" customHeight="1"/>
  <cols>
    <col min="1" max="1" width="18.5" customWidth="1"/>
    <col min="2" max="2" width="50.625" customWidth="1"/>
    <col min="3" max="3" width="25.875" customWidth="1"/>
    <col min="4" max="4" width="19.125" customWidth="1"/>
    <col min="5" max="5" width="28.125" customWidth="1"/>
    <col min="6" max="6" width="29.125" customWidth="1"/>
    <col min="7" max="8" width="37.625" customWidth="1"/>
    <col min="9" max="9" width="63.875" customWidth="1"/>
    <col min="10" max="10" width="37.625" customWidth="1"/>
    <col min="11" max="11" width="23" customWidth="1"/>
  </cols>
  <sheetData>
    <row r="1" spans="1:11" ht="22.6" customHeight="1">
      <c r="A1" s="11" t="s">
        <v>600</v>
      </c>
      <c r="B1" s="11" t="s">
        <v>601</v>
      </c>
      <c r="C1" s="11" t="s">
        <v>602</v>
      </c>
      <c r="D1" s="11" t="s">
        <v>603</v>
      </c>
      <c r="E1" s="11" t="s">
        <v>610</v>
      </c>
      <c r="F1" s="11" t="s">
        <v>611</v>
      </c>
      <c r="G1" s="11" t="s">
        <v>612</v>
      </c>
      <c r="H1" s="11" t="s">
        <v>613</v>
      </c>
      <c r="I1" s="11" t="s">
        <v>614</v>
      </c>
      <c r="J1" s="11" t="s">
        <v>615</v>
      </c>
      <c r="K1" s="11" t="s">
        <v>604</v>
      </c>
    </row>
    <row r="2" spans="1:11" ht="22.6" customHeight="1">
      <c r="A2" s="35">
        <v>45409</v>
      </c>
      <c r="B2" s="6" t="s">
        <v>223</v>
      </c>
      <c r="C2" s="6" t="s">
        <v>187</v>
      </c>
      <c r="D2" s="6" t="s">
        <v>605</v>
      </c>
      <c r="E2" s="6">
        <v>5</v>
      </c>
      <c r="F2" s="6">
        <v>4</v>
      </c>
      <c r="G2" s="6">
        <v>5</v>
      </c>
      <c r="H2" s="6">
        <v>5</v>
      </c>
      <c r="I2" s="6" t="s">
        <v>616</v>
      </c>
      <c r="J2" s="6" t="s">
        <v>617</v>
      </c>
      <c r="K2" s="6"/>
    </row>
    <row r="3" spans="1:11" ht="22.6" customHeight="1">
      <c r="A3" s="35">
        <v>45516.619444444441</v>
      </c>
      <c r="B3" s="6" t="s">
        <v>224</v>
      </c>
      <c r="C3" s="6" t="s">
        <v>65</v>
      </c>
      <c r="D3" s="6" t="s">
        <v>564</v>
      </c>
      <c r="E3" s="6">
        <v>3</v>
      </c>
      <c r="F3" s="6">
        <v>4</v>
      </c>
      <c r="G3" s="6">
        <v>3</v>
      </c>
      <c r="H3" s="6">
        <v>4</v>
      </c>
      <c r="I3" s="6" t="s">
        <v>618</v>
      </c>
      <c r="J3" s="6" t="s">
        <v>619</v>
      </c>
      <c r="K3" s="6" t="s">
        <v>620</v>
      </c>
    </row>
    <row r="4" spans="1:11" ht="22.6" customHeight="1">
      <c r="A4" s="35">
        <v>45530.685416666667</v>
      </c>
      <c r="B4" s="6" t="s">
        <v>227</v>
      </c>
      <c r="C4" s="6" t="s">
        <v>84</v>
      </c>
      <c r="D4" s="6" t="s">
        <v>606</v>
      </c>
      <c r="E4" s="6">
        <v>5</v>
      </c>
      <c r="F4" s="6">
        <v>5</v>
      </c>
      <c r="G4" s="6">
        <v>5</v>
      </c>
      <c r="H4" s="6">
        <v>5</v>
      </c>
      <c r="I4" s="6" t="s">
        <v>621</v>
      </c>
      <c r="J4" s="6"/>
      <c r="K4" s="6"/>
    </row>
    <row r="5" spans="1:11" ht="22.6" customHeight="1">
      <c r="A5" s="35">
        <v>45531.613194444442</v>
      </c>
      <c r="B5" s="6" t="s">
        <v>220</v>
      </c>
      <c r="C5" s="6" t="s">
        <v>109</v>
      </c>
      <c r="D5" s="6" t="s">
        <v>413</v>
      </c>
      <c r="E5" s="6">
        <v>5</v>
      </c>
      <c r="F5" s="6">
        <v>5</v>
      </c>
      <c r="G5" s="6">
        <v>5</v>
      </c>
      <c r="H5" s="6">
        <v>5</v>
      </c>
      <c r="I5" s="6" t="s">
        <v>622</v>
      </c>
      <c r="J5" s="6" t="s">
        <v>623</v>
      </c>
      <c r="K5" s="6"/>
    </row>
    <row r="6" spans="1:11" ht="22.6" customHeight="1">
      <c r="A6" s="35">
        <v>45531.613194444442</v>
      </c>
      <c r="B6" s="6" t="s">
        <v>226</v>
      </c>
      <c r="C6" s="6" t="s">
        <v>149</v>
      </c>
      <c r="D6" s="6" t="s">
        <v>333</v>
      </c>
      <c r="E6" s="6">
        <v>5</v>
      </c>
      <c r="F6" s="6">
        <v>5</v>
      </c>
      <c r="G6" s="6">
        <v>5</v>
      </c>
      <c r="H6" s="6">
        <v>5</v>
      </c>
      <c r="I6" s="6" t="s">
        <v>624</v>
      </c>
      <c r="J6" s="6"/>
      <c r="K6" s="6"/>
    </row>
    <row r="7" spans="1:11" ht="22.6" customHeight="1">
      <c r="A7" s="35">
        <v>45531.613194444442</v>
      </c>
      <c r="B7" s="6" t="s">
        <v>226</v>
      </c>
      <c r="C7" s="6" t="s">
        <v>150</v>
      </c>
      <c r="D7" s="6" t="s">
        <v>333</v>
      </c>
      <c r="E7" s="6">
        <v>5</v>
      </c>
      <c r="F7" s="6">
        <v>5</v>
      </c>
      <c r="G7" s="6">
        <v>5</v>
      </c>
      <c r="H7" s="6">
        <v>5</v>
      </c>
      <c r="I7" s="6" t="s">
        <v>625</v>
      </c>
      <c r="J7" s="6"/>
      <c r="K7" s="6"/>
    </row>
    <row r="8" spans="1:11" ht="22.6" customHeight="1">
      <c r="A8" s="35">
        <v>45531.613194444442</v>
      </c>
      <c r="B8" s="6" t="s">
        <v>226</v>
      </c>
      <c r="C8" s="6" t="s">
        <v>151</v>
      </c>
      <c r="D8" s="6" t="s">
        <v>333</v>
      </c>
      <c r="E8" s="6">
        <v>4</v>
      </c>
      <c r="F8" s="6">
        <v>4</v>
      </c>
      <c r="G8" s="6">
        <v>4</v>
      </c>
      <c r="H8" s="6">
        <v>4</v>
      </c>
      <c r="I8" s="6" t="s">
        <v>626</v>
      </c>
      <c r="J8" s="6"/>
      <c r="K8" s="6"/>
    </row>
    <row r="9" spans="1:11" ht="22.6" customHeight="1">
      <c r="A9" s="35">
        <v>45565.634027777778</v>
      </c>
      <c r="B9" s="6" t="s">
        <v>225</v>
      </c>
      <c r="C9" s="6" t="s">
        <v>189</v>
      </c>
      <c r="D9" s="6" t="s">
        <v>627</v>
      </c>
      <c r="E9" s="6">
        <v>4</v>
      </c>
      <c r="F9" s="6">
        <v>4</v>
      </c>
      <c r="G9" s="6">
        <v>5</v>
      </c>
      <c r="H9" s="6">
        <v>5</v>
      </c>
      <c r="I9" s="6" t="s">
        <v>628</v>
      </c>
      <c r="J9" s="6"/>
      <c r="K9" s="6"/>
    </row>
    <row r="10" spans="1:11" ht="22.6" customHeight="1">
      <c r="A10" s="35">
        <v>45568.552777777775</v>
      </c>
      <c r="B10" s="6" t="s">
        <v>229</v>
      </c>
      <c r="C10" s="6" t="s">
        <v>629</v>
      </c>
      <c r="D10" s="6" t="s">
        <v>630</v>
      </c>
      <c r="E10" s="6">
        <v>5</v>
      </c>
      <c r="F10" s="6">
        <v>5</v>
      </c>
      <c r="G10" s="6">
        <v>5</v>
      </c>
      <c r="H10" s="6">
        <v>5</v>
      </c>
      <c r="I10" s="6" t="s">
        <v>631</v>
      </c>
      <c r="J10" s="6" t="s">
        <v>632</v>
      </c>
      <c r="K10" s="6"/>
    </row>
    <row r="11" spans="1:11" ht="22.6" customHeight="1">
      <c r="A11" s="35">
        <v>45614</v>
      </c>
      <c r="B11" s="6" t="s">
        <v>220</v>
      </c>
      <c r="C11" s="6" t="s">
        <v>168</v>
      </c>
      <c r="D11" s="6" t="s">
        <v>422</v>
      </c>
      <c r="E11" s="6">
        <v>3</v>
      </c>
      <c r="F11" s="6">
        <v>3</v>
      </c>
      <c r="G11" s="6">
        <v>3</v>
      </c>
      <c r="H11" s="6">
        <v>3</v>
      </c>
      <c r="I11" s="6" t="s">
        <v>633</v>
      </c>
      <c r="J11" s="6" t="s">
        <v>634</v>
      </c>
      <c r="K11" s="6"/>
    </row>
    <row r="12" spans="1:11" ht="22.6" customHeight="1">
      <c r="A12" s="35">
        <v>45741</v>
      </c>
      <c r="B12" s="6" t="s">
        <v>204</v>
      </c>
      <c r="C12" s="6" t="s">
        <v>2</v>
      </c>
      <c r="D12" s="6" t="s">
        <v>422</v>
      </c>
      <c r="E12" s="6">
        <v>4</v>
      </c>
      <c r="F12" s="6">
        <v>4</v>
      </c>
      <c r="G12" s="6">
        <v>3</v>
      </c>
      <c r="H12" s="6">
        <v>4</v>
      </c>
      <c r="I12" s="6" t="s">
        <v>635</v>
      </c>
      <c r="J12" s="6"/>
      <c r="K12" s="6"/>
    </row>
    <row r="13" spans="1:11" ht="22.6" customHeight="1">
      <c r="A13" s="35">
        <v>45741</v>
      </c>
      <c r="B13" s="6" t="s">
        <v>231</v>
      </c>
      <c r="C13" s="6" t="s">
        <v>94</v>
      </c>
      <c r="D13" s="6" t="s">
        <v>564</v>
      </c>
      <c r="E13" s="6">
        <v>4</v>
      </c>
      <c r="F13" s="6">
        <v>4</v>
      </c>
      <c r="G13" s="6">
        <v>5</v>
      </c>
      <c r="H13" s="6">
        <v>5</v>
      </c>
      <c r="I13" s="6" t="s">
        <v>636</v>
      </c>
      <c r="J13" s="6" t="s">
        <v>637</v>
      </c>
      <c r="K13" s="6"/>
    </row>
    <row r="14" spans="1:11" ht="22.6" customHeight="1">
      <c r="A14" s="35">
        <v>45741</v>
      </c>
      <c r="B14" s="6" t="s">
        <v>232</v>
      </c>
      <c r="C14" s="6" t="s">
        <v>243</v>
      </c>
      <c r="D14" s="6" t="s">
        <v>627</v>
      </c>
      <c r="E14" s="6">
        <v>5</v>
      </c>
      <c r="F14" s="6">
        <v>5</v>
      </c>
      <c r="G14" s="6">
        <v>5</v>
      </c>
      <c r="H14" s="6">
        <v>5</v>
      </c>
      <c r="I14" s="6"/>
      <c r="J14" s="6"/>
      <c r="K14" s="6"/>
    </row>
    <row r="15" spans="1:11" ht="22.6" customHeight="1">
      <c r="A15" s="35">
        <v>45923</v>
      </c>
      <c r="B15" s="6" t="s">
        <v>220</v>
      </c>
      <c r="C15" s="6" t="s">
        <v>238</v>
      </c>
      <c r="D15" s="6" t="s">
        <v>638</v>
      </c>
      <c r="E15" s="6">
        <v>4</v>
      </c>
      <c r="F15" s="6">
        <v>4</v>
      </c>
      <c r="G15" s="6">
        <v>5</v>
      </c>
      <c r="H15" s="6">
        <v>4</v>
      </c>
      <c r="I15" s="6" t="s">
        <v>639</v>
      </c>
      <c r="J15" s="6"/>
      <c r="K15" s="6"/>
    </row>
    <row r="16" spans="1:11" ht="22.6" customHeight="1">
      <c r="A16" s="35">
        <v>45923</v>
      </c>
      <c r="B16" s="6" t="s">
        <v>233</v>
      </c>
      <c r="C16" s="6" t="s">
        <v>56</v>
      </c>
      <c r="D16" s="6" t="s">
        <v>422</v>
      </c>
      <c r="E16" s="6">
        <v>5</v>
      </c>
      <c r="F16" s="6">
        <v>5</v>
      </c>
      <c r="G16" s="6">
        <v>5</v>
      </c>
      <c r="H16" s="6">
        <v>5</v>
      </c>
      <c r="I16" s="6" t="s">
        <v>640</v>
      </c>
      <c r="J16" s="6"/>
      <c r="K16" s="6"/>
    </row>
    <row r="17" spans="1:11" ht="22.6" customHeight="1">
      <c r="A17" s="35">
        <v>45923</v>
      </c>
      <c r="B17" s="6" t="s">
        <v>233</v>
      </c>
      <c r="C17" s="6" t="s">
        <v>107</v>
      </c>
      <c r="D17" s="6" t="s">
        <v>422</v>
      </c>
      <c r="E17" s="6">
        <v>5</v>
      </c>
      <c r="F17" s="6">
        <v>5</v>
      </c>
      <c r="G17" s="6">
        <v>5</v>
      </c>
      <c r="H17" s="6">
        <v>5</v>
      </c>
      <c r="I17" s="6" t="s">
        <v>641</v>
      </c>
      <c r="J17" s="6"/>
      <c r="K17" s="6"/>
    </row>
    <row r="18" spans="1:11" ht="22.6" customHeight="1">
      <c r="A18" s="35"/>
      <c r="B18" s="6"/>
      <c r="C18" s="6"/>
      <c r="D18" s="6"/>
      <c r="E18" s="6"/>
      <c r="F18" s="6"/>
      <c r="G18" s="6"/>
      <c r="H18" s="6"/>
      <c r="I18" s="6"/>
      <c r="J18" s="6"/>
      <c r="K18" s="6"/>
    </row>
    <row r="19" spans="1:11" ht="22.6" customHeight="1">
      <c r="A19" s="35"/>
      <c r="B19" s="6"/>
      <c r="C19" s="6"/>
      <c r="D19" s="6"/>
      <c r="E19" s="6"/>
      <c r="F19" s="6"/>
      <c r="G19" s="6"/>
      <c r="H19" s="6"/>
      <c r="I19" s="6"/>
      <c r="J19" s="6"/>
      <c r="K19" s="6"/>
    </row>
    <row r="20" spans="1:11" ht="22.6" customHeight="1">
      <c r="A20" s="35"/>
      <c r="B20" s="6"/>
      <c r="C20" s="6"/>
      <c r="D20" s="6"/>
      <c r="E20" s="6"/>
      <c r="F20" s="6"/>
      <c r="G20" s="6"/>
      <c r="H20" s="6"/>
      <c r="I20" s="6"/>
      <c r="J20" s="6"/>
      <c r="K20" s="6"/>
    </row>
    <row r="21" spans="1:11" ht="22.6" customHeight="1">
      <c r="A21" s="35"/>
      <c r="B21" s="6"/>
      <c r="C21" s="6"/>
      <c r="D21" s="6"/>
      <c r="E21" s="6"/>
      <c r="F21" s="6"/>
      <c r="G21" s="6"/>
      <c r="H21" s="6"/>
      <c r="I21" s="6"/>
      <c r="J21" s="6"/>
      <c r="K21" s="6"/>
    </row>
    <row r="22" spans="1:11" ht="22.6" customHeight="1">
      <c r="A22" s="35"/>
      <c r="B22" s="6"/>
      <c r="C22" s="6"/>
      <c r="D22" s="6"/>
      <c r="E22" s="6"/>
      <c r="F22" s="6"/>
      <c r="G22" s="6"/>
      <c r="H22" s="6"/>
      <c r="I22" s="6"/>
      <c r="J22" s="6"/>
      <c r="K22" s="6"/>
    </row>
    <row r="23" spans="1:11" ht="22.6" customHeight="1">
      <c r="A23" s="35"/>
      <c r="B23" s="6"/>
      <c r="C23" s="6"/>
      <c r="D23" s="6"/>
      <c r="E23" s="6"/>
      <c r="F23" s="6"/>
      <c r="G23" s="6"/>
      <c r="H23" s="6"/>
      <c r="I23" s="6"/>
      <c r="J23" s="6"/>
      <c r="K23" s="6"/>
    </row>
    <row r="24" spans="1:11" ht="22.6" customHeight="1">
      <c r="A24" s="35"/>
      <c r="B24" s="6"/>
      <c r="C24" s="6"/>
      <c r="D24" s="6"/>
      <c r="E24" s="6"/>
      <c r="F24" s="6"/>
      <c r="G24" s="6"/>
      <c r="H24" s="6"/>
      <c r="I24" s="6"/>
      <c r="J24" s="6"/>
      <c r="K24" s="6"/>
    </row>
    <row r="25" spans="1:11" ht="22.6" customHeight="1">
      <c r="A25" s="35"/>
      <c r="B25" s="6"/>
      <c r="C25" s="6"/>
      <c r="D25" s="6"/>
      <c r="E25" s="6"/>
      <c r="F25" s="6"/>
      <c r="G25" s="6"/>
      <c r="H25" s="6"/>
      <c r="I25" s="6"/>
      <c r="J25" s="6"/>
      <c r="K25" s="6"/>
    </row>
    <row r="26" spans="1:11" ht="22.6" customHeight="1">
      <c r="A26" s="35"/>
      <c r="B26" s="6"/>
      <c r="C26" s="6"/>
      <c r="D26" s="6"/>
      <c r="E26" s="6"/>
      <c r="F26" s="6"/>
      <c r="G26" s="6"/>
      <c r="H26" s="6"/>
      <c r="I26" s="6"/>
      <c r="J26" s="6"/>
      <c r="K26" s="6"/>
    </row>
    <row r="27" spans="1:11" ht="22.6" customHeight="1">
      <c r="A27" s="35"/>
      <c r="B27" s="6"/>
      <c r="C27" s="6"/>
      <c r="D27" s="6"/>
      <c r="E27" s="6"/>
      <c r="F27" s="6"/>
      <c r="G27" s="6"/>
      <c r="H27" s="6"/>
      <c r="I27" s="6"/>
      <c r="J27" s="6"/>
      <c r="K27" s="6"/>
    </row>
    <row r="28" spans="1:11" ht="22.6" customHeight="1">
      <c r="A28" s="35"/>
      <c r="B28" s="6"/>
      <c r="C28" s="6"/>
      <c r="D28" s="6"/>
      <c r="E28" s="6"/>
      <c r="F28" s="6"/>
      <c r="G28" s="6"/>
      <c r="H28" s="6"/>
      <c r="I28" s="6"/>
      <c r="J28" s="6"/>
      <c r="K28" s="6"/>
    </row>
    <row r="29" spans="1:11" ht="22.6" customHeight="1">
      <c r="A29" s="35"/>
      <c r="B29" s="6"/>
      <c r="C29" s="6"/>
      <c r="D29" s="6"/>
      <c r="E29" s="6"/>
      <c r="F29" s="6"/>
      <c r="G29" s="6"/>
      <c r="H29" s="6"/>
      <c r="I29" s="6"/>
      <c r="J29" s="6"/>
      <c r="K29" s="6"/>
    </row>
    <row r="30" spans="1:11" ht="22.6" customHeight="1">
      <c r="A30" s="35"/>
      <c r="B30" s="6"/>
      <c r="C30" s="6"/>
      <c r="D30" s="6"/>
      <c r="E30" s="6"/>
      <c r="F30" s="6"/>
      <c r="G30" s="6"/>
      <c r="H30" s="6"/>
      <c r="I30" s="6"/>
      <c r="J30" s="6"/>
      <c r="K30" s="6"/>
    </row>
    <row r="31" spans="1:11" ht="22.6" customHeight="1">
      <c r="A31" s="35"/>
      <c r="B31" s="6"/>
      <c r="C31" s="6"/>
      <c r="D31" s="6"/>
      <c r="E31" s="6"/>
      <c r="F31" s="6"/>
      <c r="G31" s="6"/>
      <c r="H31" s="6"/>
      <c r="I31" s="6"/>
      <c r="J31" s="6"/>
      <c r="K31" s="6"/>
    </row>
    <row r="32" spans="1:11" ht="22.6" customHeight="1">
      <c r="A32" s="35"/>
      <c r="B32" s="6"/>
      <c r="C32" s="6"/>
      <c r="D32" s="6"/>
      <c r="E32" s="6"/>
      <c r="F32" s="6"/>
      <c r="G32" s="6"/>
      <c r="H32" s="6"/>
      <c r="I32" s="6"/>
      <c r="J32" s="6"/>
      <c r="K32" s="6"/>
    </row>
    <row r="33" spans="1:11" ht="22.6" customHeight="1">
      <c r="A33" s="35"/>
      <c r="B33" s="6"/>
      <c r="C33" s="6"/>
      <c r="D33" s="6"/>
      <c r="E33" s="6"/>
      <c r="F33" s="6"/>
      <c r="G33" s="6"/>
      <c r="H33" s="6"/>
      <c r="I33" s="6"/>
      <c r="J33" s="6"/>
      <c r="K33" s="6"/>
    </row>
    <row r="34" spans="1:11" ht="22.6" customHeight="1">
      <c r="A34" s="35"/>
      <c r="B34" s="6"/>
      <c r="C34" s="6"/>
      <c r="D34" s="6"/>
      <c r="E34" s="6"/>
      <c r="F34" s="6"/>
      <c r="G34" s="6"/>
      <c r="H34" s="6"/>
      <c r="I34" s="6"/>
      <c r="J34" s="6"/>
      <c r="K34" s="6"/>
    </row>
    <row r="35" spans="1:11" ht="22.6" customHeight="1">
      <c r="A35" s="35"/>
      <c r="B35" s="6"/>
      <c r="C35" s="6"/>
      <c r="D35" s="6"/>
      <c r="E35" s="6"/>
      <c r="F35" s="6"/>
      <c r="G35" s="6"/>
      <c r="H35" s="6"/>
      <c r="I35" s="6"/>
      <c r="J35" s="6"/>
      <c r="K35" s="6"/>
    </row>
    <row r="36" spans="1:11" ht="22.6" customHeight="1">
      <c r="A36" s="35"/>
      <c r="B36" s="6"/>
      <c r="C36" s="6"/>
      <c r="D36" s="6"/>
      <c r="E36" s="6"/>
      <c r="F36" s="6"/>
      <c r="G36" s="6"/>
      <c r="H36" s="6"/>
      <c r="I36" s="6"/>
      <c r="J36" s="6"/>
      <c r="K36" s="6"/>
    </row>
    <row r="37" spans="1:11" ht="22.6" customHeight="1">
      <c r="A37" s="35"/>
      <c r="B37" s="6"/>
      <c r="C37" s="6"/>
      <c r="D37" s="6"/>
      <c r="E37" s="6"/>
      <c r="F37" s="6"/>
      <c r="G37" s="6"/>
      <c r="H37" s="6"/>
      <c r="I37" s="6"/>
      <c r="J37" s="6"/>
      <c r="K37" s="6"/>
    </row>
    <row r="38" spans="1:11" ht="22.6" customHeight="1">
      <c r="A38" s="35"/>
      <c r="B38" s="6"/>
      <c r="C38" s="6"/>
      <c r="D38" s="6"/>
      <c r="E38" s="6"/>
      <c r="F38" s="6"/>
      <c r="G38" s="6"/>
      <c r="H38" s="6"/>
      <c r="I38" s="6"/>
      <c r="J38" s="6"/>
      <c r="K38" s="6"/>
    </row>
    <row r="39" spans="1:11" ht="22.6" customHeight="1">
      <c r="A39" s="35"/>
      <c r="B39" s="6"/>
      <c r="C39" s="6"/>
      <c r="D39" s="6"/>
      <c r="E39" s="6"/>
      <c r="F39" s="6"/>
      <c r="G39" s="6"/>
      <c r="H39" s="6"/>
      <c r="I39" s="6"/>
      <c r="J39" s="6"/>
      <c r="K39" s="6"/>
    </row>
    <row r="40" spans="1:11" ht="22.6" customHeight="1">
      <c r="A40" s="35"/>
      <c r="B40" s="6"/>
      <c r="C40" s="6"/>
      <c r="D40" s="6"/>
      <c r="E40" s="6"/>
      <c r="F40" s="6"/>
      <c r="G40" s="6"/>
      <c r="H40" s="6"/>
      <c r="I40" s="6"/>
      <c r="J40" s="6"/>
      <c r="K40" s="6"/>
    </row>
    <row r="41" spans="1:11" ht="22.6" customHeight="1">
      <c r="A41" s="35"/>
      <c r="B41" s="6"/>
      <c r="C41" s="6"/>
      <c r="D41" s="6"/>
      <c r="E41" s="6"/>
      <c r="F41" s="6"/>
      <c r="G41" s="6"/>
      <c r="H41" s="6"/>
      <c r="I41" s="6"/>
      <c r="J41" s="6"/>
      <c r="K41" s="6"/>
    </row>
    <row r="42" spans="1:11" ht="22.6" customHeight="1">
      <c r="A42" s="35"/>
      <c r="B42" s="6"/>
      <c r="C42" s="6"/>
      <c r="D42" s="6"/>
      <c r="E42" s="6"/>
      <c r="F42" s="6"/>
      <c r="G42" s="6"/>
      <c r="H42" s="6"/>
      <c r="I42" s="6"/>
      <c r="J42" s="6"/>
      <c r="K42" s="6"/>
    </row>
    <row r="43" spans="1:11" ht="22.6" customHeight="1">
      <c r="A43" s="35"/>
      <c r="B43" s="6"/>
      <c r="C43" s="6"/>
      <c r="D43" s="6"/>
      <c r="E43" s="6"/>
      <c r="F43" s="6"/>
      <c r="G43" s="6"/>
      <c r="H43" s="6"/>
      <c r="I43" s="6"/>
      <c r="J43" s="6"/>
      <c r="K43" s="6"/>
    </row>
    <row r="44" spans="1:11" ht="22.6" customHeight="1">
      <c r="A44" s="35"/>
      <c r="B44" s="6"/>
      <c r="C44" s="6"/>
      <c r="D44" s="6"/>
      <c r="E44" s="6"/>
      <c r="F44" s="6"/>
      <c r="G44" s="6"/>
      <c r="H44" s="6"/>
      <c r="I44" s="6"/>
      <c r="J44" s="6"/>
      <c r="K44" s="6"/>
    </row>
    <row r="45" spans="1:11" ht="22.6" customHeight="1">
      <c r="A45" s="35"/>
      <c r="B45" s="6"/>
      <c r="C45" s="6"/>
      <c r="D45" s="6"/>
      <c r="E45" s="6"/>
      <c r="F45" s="6"/>
      <c r="G45" s="6"/>
      <c r="H45" s="6"/>
      <c r="I45" s="6"/>
      <c r="J45" s="6"/>
      <c r="K45" s="6"/>
    </row>
    <row r="46" spans="1:11" ht="22.6" customHeight="1">
      <c r="A46" s="35"/>
      <c r="B46" s="6"/>
      <c r="C46" s="6"/>
      <c r="D46" s="6"/>
      <c r="E46" s="6"/>
      <c r="F46" s="6"/>
      <c r="G46" s="6"/>
      <c r="H46" s="6"/>
      <c r="I46" s="6"/>
      <c r="J46" s="6"/>
      <c r="K46" s="6"/>
    </row>
    <row r="47" spans="1:11" ht="22.6" customHeight="1">
      <c r="A47" s="35"/>
      <c r="B47" s="6"/>
      <c r="C47" s="6"/>
      <c r="D47" s="6"/>
      <c r="E47" s="6"/>
      <c r="F47" s="6"/>
      <c r="G47" s="6"/>
      <c r="H47" s="6"/>
      <c r="I47" s="6"/>
      <c r="J47" s="6"/>
      <c r="K47" s="6"/>
    </row>
    <row r="48" spans="1:11" ht="22.6" customHeight="1">
      <c r="A48" s="35"/>
      <c r="B48" s="6"/>
      <c r="C48" s="6"/>
      <c r="D48" s="6"/>
      <c r="E48" s="6"/>
      <c r="F48" s="6"/>
      <c r="G48" s="6"/>
      <c r="H48" s="6"/>
      <c r="I48" s="6"/>
      <c r="J48" s="6"/>
      <c r="K48" s="6"/>
    </row>
    <row r="49" spans="1:11" ht="22.6" customHeight="1">
      <c r="A49" s="35"/>
      <c r="B49" s="6"/>
      <c r="C49" s="6"/>
      <c r="D49" s="6"/>
      <c r="E49" s="6"/>
      <c r="F49" s="6"/>
      <c r="G49" s="6"/>
      <c r="H49" s="6"/>
      <c r="I49" s="6"/>
      <c r="J49" s="6"/>
      <c r="K49" s="6"/>
    </row>
    <row r="50" spans="1:11" ht="22.6" customHeight="1">
      <c r="A50" s="35"/>
      <c r="B50" s="6"/>
      <c r="C50" s="6"/>
      <c r="D50" s="6"/>
      <c r="E50" s="6"/>
      <c r="F50" s="6"/>
      <c r="G50" s="6"/>
      <c r="H50" s="6"/>
      <c r="I50" s="6"/>
      <c r="J50" s="6"/>
      <c r="K50" s="6"/>
    </row>
  </sheetData>
  <dataValidations count="1">
    <dataValidation type="custom" allowBlank="1" showDropDown="1" sqref="A2:A50" xr:uid="{00000000-0002-0000-1500-000001000000}">
      <formula1>OR(NOT(ISERROR(DATEVALUE(A2))), AND(ISNUMBER(A2), LEFT(CELL("format", A2))="D"))</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1500-000000000000}">
          <x14:formula1>
            <xm:f>#REF!</xm:f>
          </x14:formula1>
          <xm:sqref>B2:B17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L59"/>
  <sheetViews>
    <sheetView tabSelected="1" workbookViewId="0">
      <pane xSplit="4" ySplit="1" topLeftCell="E2" activePane="bottomRight" state="frozen"/>
      <selection pane="topRight" activeCell="E1" sqref="E1"/>
      <selection pane="bottomLeft" activeCell="A2" sqref="A2"/>
      <selection pane="bottomRight" activeCell="F12" sqref="F12"/>
    </sheetView>
  </sheetViews>
  <sheetFormatPr defaultColWidth="12.625" defaultRowHeight="15.8" customHeight="1"/>
  <cols>
    <col min="1" max="1" width="18.875" customWidth="1"/>
    <col min="2" max="2" width="28.75" customWidth="1"/>
    <col min="3" max="3" width="18.875" customWidth="1"/>
    <col min="4" max="4" width="23.75" customWidth="1"/>
    <col min="5" max="9" width="37.625" customWidth="1"/>
    <col min="10" max="10" width="52.875" customWidth="1"/>
    <col min="11" max="18" width="18.875" customWidth="1"/>
  </cols>
  <sheetData>
    <row r="1" spans="1:12" ht="22.6" customHeight="1">
      <c r="A1" s="11" t="s">
        <v>1</v>
      </c>
      <c r="B1" s="11" t="s">
        <v>19</v>
      </c>
      <c r="C1" s="36" t="s">
        <v>5</v>
      </c>
      <c r="D1" s="36" t="s">
        <v>642</v>
      </c>
      <c r="E1" s="11" t="s">
        <v>643</v>
      </c>
      <c r="F1" s="11" t="s">
        <v>644</v>
      </c>
      <c r="G1" s="11" t="s">
        <v>645</v>
      </c>
      <c r="H1" s="11" t="s">
        <v>646</v>
      </c>
      <c r="I1" s="36" t="s">
        <v>647</v>
      </c>
      <c r="J1" s="11" t="s">
        <v>648</v>
      </c>
      <c r="K1" s="11" t="s">
        <v>649</v>
      </c>
      <c r="L1" s="11" t="s">
        <v>650</v>
      </c>
    </row>
    <row r="2" spans="1:12" ht="22.6" customHeight="1">
      <c r="A2" s="5">
        <v>45463.769292638885</v>
      </c>
      <c r="B2" s="6" t="s">
        <v>123</v>
      </c>
      <c r="C2" s="6" t="s">
        <v>71</v>
      </c>
      <c r="D2" s="6" t="s">
        <v>234</v>
      </c>
      <c r="E2" s="6">
        <v>5</v>
      </c>
      <c r="F2" s="6">
        <v>3</v>
      </c>
      <c r="G2" s="6">
        <v>5</v>
      </c>
      <c r="H2" s="6">
        <v>5</v>
      </c>
      <c r="I2" s="6" t="s">
        <v>651</v>
      </c>
      <c r="J2" s="6" t="s">
        <v>652</v>
      </c>
      <c r="K2" s="6"/>
      <c r="L2" s="6"/>
    </row>
    <row r="3" spans="1:12" ht="22.6" customHeight="1">
      <c r="A3" s="5">
        <v>45467.498622546293</v>
      </c>
      <c r="B3" s="6" t="s">
        <v>31</v>
      </c>
      <c r="C3" s="6" t="s">
        <v>568</v>
      </c>
      <c r="D3" s="6" t="s">
        <v>234</v>
      </c>
      <c r="E3" s="6">
        <v>4</v>
      </c>
      <c r="F3" s="6">
        <v>4</v>
      </c>
      <c r="G3" s="6">
        <v>4</v>
      </c>
      <c r="H3" s="6">
        <v>4</v>
      </c>
      <c r="I3" s="6"/>
      <c r="J3" s="6"/>
      <c r="K3" s="6"/>
      <c r="L3" s="6"/>
    </row>
    <row r="4" spans="1:12" ht="22.6" customHeight="1">
      <c r="A4" s="5">
        <v>45467.644144583333</v>
      </c>
      <c r="B4" s="6" t="s">
        <v>149</v>
      </c>
      <c r="C4" s="6" t="s">
        <v>228</v>
      </c>
      <c r="D4" s="6" t="s">
        <v>234</v>
      </c>
      <c r="E4" s="6">
        <v>5</v>
      </c>
      <c r="F4" s="6">
        <v>5</v>
      </c>
      <c r="G4" s="6">
        <v>5</v>
      </c>
      <c r="H4" s="6">
        <v>5</v>
      </c>
      <c r="I4" s="6"/>
      <c r="J4" s="6"/>
      <c r="K4" s="6"/>
      <c r="L4" s="6"/>
    </row>
    <row r="5" spans="1:12" ht="22.6" customHeight="1">
      <c r="A5" s="5">
        <v>45467.654420636572</v>
      </c>
      <c r="B5" s="6" t="s">
        <v>33</v>
      </c>
      <c r="C5" s="6" t="s">
        <v>653</v>
      </c>
      <c r="D5" s="6" t="s">
        <v>234</v>
      </c>
      <c r="E5" s="6">
        <v>5</v>
      </c>
      <c r="F5" s="6">
        <v>4</v>
      </c>
      <c r="G5" s="6">
        <v>4</v>
      </c>
      <c r="H5" s="6">
        <v>4</v>
      </c>
      <c r="I5" s="6" t="s">
        <v>654</v>
      </c>
      <c r="J5" s="6" t="s">
        <v>655</v>
      </c>
      <c r="K5" s="6"/>
      <c r="L5" s="6"/>
    </row>
    <row r="6" spans="1:12" ht="22.6" customHeight="1">
      <c r="A6" s="5">
        <v>45475.440027928242</v>
      </c>
      <c r="B6" s="6" t="s">
        <v>117</v>
      </c>
      <c r="C6" s="6" t="s">
        <v>570</v>
      </c>
      <c r="D6" s="6" t="s">
        <v>234</v>
      </c>
      <c r="E6" s="6">
        <v>4</v>
      </c>
      <c r="F6" s="6">
        <v>4</v>
      </c>
      <c r="G6" s="6">
        <v>4</v>
      </c>
      <c r="H6" s="6">
        <v>4</v>
      </c>
      <c r="I6" s="6"/>
      <c r="J6" s="6"/>
      <c r="K6" s="6"/>
      <c r="L6" s="6"/>
    </row>
    <row r="7" spans="1:12" ht="22.6" customHeight="1">
      <c r="A7" s="5">
        <v>45475.441021446764</v>
      </c>
      <c r="B7" s="6" t="s">
        <v>159</v>
      </c>
      <c r="C7" s="6" t="s">
        <v>582</v>
      </c>
      <c r="D7" s="6" t="s">
        <v>234</v>
      </c>
      <c r="E7" s="6">
        <v>4</v>
      </c>
      <c r="F7" s="6">
        <v>3</v>
      </c>
      <c r="G7" s="6">
        <v>4</v>
      </c>
      <c r="H7" s="6">
        <v>5</v>
      </c>
      <c r="I7" s="6"/>
      <c r="J7" s="6"/>
      <c r="K7" s="6"/>
      <c r="L7" s="6"/>
    </row>
    <row r="8" spans="1:12" ht="22.6" customHeight="1">
      <c r="A8" s="5">
        <v>45475.441048564811</v>
      </c>
      <c r="B8" s="6" t="s">
        <v>120</v>
      </c>
      <c r="C8" s="6" t="s">
        <v>656</v>
      </c>
      <c r="D8" s="6" t="s">
        <v>234</v>
      </c>
      <c r="E8" s="6">
        <v>4</v>
      </c>
      <c r="F8" s="6">
        <v>4</v>
      </c>
      <c r="G8" s="6">
        <v>4</v>
      </c>
      <c r="H8" s="6">
        <v>4</v>
      </c>
      <c r="I8" s="6" t="s">
        <v>657</v>
      </c>
      <c r="J8" s="6" t="s">
        <v>607</v>
      </c>
      <c r="K8" s="6"/>
      <c r="L8" s="6"/>
    </row>
    <row r="9" spans="1:12" ht="22.6" customHeight="1">
      <c r="A9" s="5">
        <v>45475.44422164352</v>
      </c>
      <c r="B9" s="6" t="s">
        <v>74</v>
      </c>
      <c r="C9" s="6" t="s">
        <v>575</v>
      </c>
      <c r="D9" s="6" t="s">
        <v>234</v>
      </c>
      <c r="E9" s="6">
        <v>5</v>
      </c>
      <c r="F9" s="6">
        <v>4</v>
      </c>
      <c r="G9" s="6">
        <v>4</v>
      </c>
      <c r="H9" s="6">
        <v>5</v>
      </c>
      <c r="I9" s="6"/>
      <c r="J9" s="6"/>
      <c r="K9" s="6"/>
      <c r="L9" s="6"/>
    </row>
    <row r="10" spans="1:12" ht="22.6" customHeight="1">
      <c r="A10" s="5">
        <v>45475.458639328703</v>
      </c>
      <c r="B10" s="6" t="s">
        <v>182</v>
      </c>
      <c r="C10" s="6" t="s">
        <v>569</v>
      </c>
      <c r="D10" s="6" t="s">
        <v>234</v>
      </c>
      <c r="E10" s="6">
        <v>4</v>
      </c>
      <c r="F10" s="6">
        <v>4</v>
      </c>
      <c r="G10" s="6">
        <v>4</v>
      </c>
      <c r="H10" s="6">
        <v>4</v>
      </c>
      <c r="I10" s="6" t="s">
        <v>658</v>
      </c>
      <c r="J10" s="6"/>
      <c r="K10" s="6"/>
      <c r="L10" s="6"/>
    </row>
    <row r="11" spans="1:12" ht="22.6" customHeight="1">
      <c r="A11" s="5">
        <v>45475.466470752319</v>
      </c>
      <c r="B11" s="6" t="s">
        <v>162</v>
      </c>
      <c r="C11" s="6" t="s">
        <v>576</v>
      </c>
      <c r="D11" s="6" t="s">
        <v>234</v>
      </c>
      <c r="E11" s="6">
        <v>4</v>
      </c>
      <c r="F11" s="6">
        <v>4</v>
      </c>
      <c r="G11" s="6">
        <v>3</v>
      </c>
      <c r="H11" s="6">
        <v>4</v>
      </c>
      <c r="I11" s="6" t="s">
        <v>659</v>
      </c>
      <c r="J11" s="6"/>
      <c r="K11" s="6"/>
      <c r="L11" s="6"/>
    </row>
    <row r="12" spans="1:12" ht="22.6" customHeight="1">
      <c r="A12" s="5">
        <v>45475.503415069441</v>
      </c>
      <c r="B12" s="6" t="s">
        <v>118</v>
      </c>
      <c r="C12" s="6" t="s">
        <v>572</v>
      </c>
      <c r="D12" s="6" t="s">
        <v>234</v>
      </c>
      <c r="E12" s="6">
        <v>3</v>
      </c>
      <c r="F12" s="6">
        <v>2</v>
      </c>
      <c r="G12" s="6">
        <v>3</v>
      </c>
      <c r="H12" s="6">
        <v>3</v>
      </c>
      <c r="I12" s="6" t="s">
        <v>660</v>
      </c>
      <c r="J12" s="6"/>
      <c r="K12" s="6"/>
      <c r="L12" s="6"/>
    </row>
    <row r="13" spans="1:12" ht="22.6" customHeight="1">
      <c r="A13" s="5">
        <v>45475.583130104162</v>
      </c>
      <c r="B13" s="6" t="s">
        <v>24</v>
      </c>
      <c r="C13" s="6" t="s">
        <v>661</v>
      </c>
      <c r="D13" s="6" t="s">
        <v>234</v>
      </c>
      <c r="E13" s="6">
        <v>5</v>
      </c>
      <c r="F13" s="6">
        <v>5</v>
      </c>
      <c r="G13" s="6">
        <v>4</v>
      </c>
      <c r="H13" s="6">
        <v>5</v>
      </c>
      <c r="I13" s="6"/>
      <c r="J13" s="6"/>
      <c r="K13" s="6"/>
      <c r="L13" s="6"/>
    </row>
    <row r="14" spans="1:12" ht="22.6" customHeight="1">
      <c r="A14" s="5">
        <v>45568.773933761579</v>
      </c>
      <c r="B14" s="6" t="s">
        <v>175</v>
      </c>
      <c r="C14" s="6" t="s">
        <v>566</v>
      </c>
      <c r="D14" s="6" t="s">
        <v>236</v>
      </c>
      <c r="E14" s="6">
        <v>4</v>
      </c>
      <c r="F14" s="6">
        <v>4</v>
      </c>
      <c r="G14" s="6">
        <v>4</v>
      </c>
      <c r="H14" s="6">
        <v>5</v>
      </c>
      <c r="I14" s="6" t="s">
        <v>662</v>
      </c>
      <c r="J14" s="6" t="s">
        <v>663</v>
      </c>
      <c r="K14" s="6"/>
      <c r="L14" s="6"/>
    </row>
    <row r="15" spans="1:12" ht="22.6" customHeight="1">
      <c r="A15" s="5">
        <v>45569.581762407412</v>
      </c>
      <c r="B15" s="6" t="s">
        <v>185</v>
      </c>
      <c r="C15" s="6" t="s">
        <v>565</v>
      </c>
      <c r="D15" s="6" t="s">
        <v>236</v>
      </c>
      <c r="E15" s="6">
        <v>4</v>
      </c>
      <c r="F15" s="6">
        <v>2</v>
      </c>
      <c r="G15" s="6">
        <v>3</v>
      </c>
      <c r="H15" s="6">
        <v>3</v>
      </c>
      <c r="I15" s="6"/>
      <c r="J15" s="6" t="s">
        <v>664</v>
      </c>
      <c r="K15" s="6"/>
      <c r="L15" s="6"/>
    </row>
    <row r="16" spans="1:12" ht="22.6" customHeight="1">
      <c r="A16" s="5">
        <v>45569.599715729171</v>
      </c>
      <c r="B16" s="6" t="s">
        <v>107</v>
      </c>
      <c r="C16" s="6" t="s">
        <v>665</v>
      </c>
      <c r="D16" s="6" t="s">
        <v>236</v>
      </c>
      <c r="E16" s="6">
        <v>1</v>
      </c>
      <c r="F16" s="6">
        <v>1</v>
      </c>
      <c r="G16" s="6">
        <v>1</v>
      </c>
      <c r="H16" s="6">
        <v>5</v>
      </c>
      <c r="I16" s="6"/>
      <c r="J16" s="6" t="s">
        <v>666</v>
      </c>
      <c r="K16" s="6"/>
      <c r="L16" s="6"/>
    </row>
    <row r="17" spans="1:12" ht="22.6" customHeight="1">
      <c r="A17" s="5">
        <v>45569.600355995368</v>
      </c>
      <c r="B17" s="6" t="s">
        <v>109</v>
      </c>
      <c r="C17" s="6" t="s">
        <v>597</v>
      </c>
      <c r="D17" s="6" t="s">
        <v>236</v>
      </c>
      <c r="E17" s="6">
        <v>3</v>
      </c>
      <c r="F17" s="6">
        <v>2</v>
      </c>
      <c r="G17" s="6">
        <v>4</v>
      </c>
      <c r="H17" s="6">
        <v>3</v>
      </c>
      <c r="I17" s="6" t="s">
        <v>667</v>
      </c>
      <c r="J17" s="6" t="s">
        <v>668</v>
      </c>
      <c r="K17" s="6"/>
      <c r="L17" s="6"/>
    </row>
    <row r="18" spans="1:12" ht="22.6" customHeight="1">
      <c r="A18" s="5">
        <v>45569.64395662037</v>
      </c>
      <c r="B18" s="6" t="s">
        <v>2</v>
      </c>
      <c r="C18" s="6" t="s">
        <v>567</v>
      </c>
      <c r="D18" s="6" t="s">
        <v>236</v>
      </c>
      <c r="E18" s="6">
        <v>5</v>
      </c>
      <c r="F18" s="6">
        <v>4</v>
      </c>
      <c r="G18" s="6">
        <v>5</v>
      </c>
      <c r="H18" s="6">
        <v>5</v>
      </c>
      <c r="I18" s="6" t="s">
        <v>669</v>
      </c>
      <c r="J18" s="6"/>
      <c r="K18" s="6"/>
      <c r="L18" s="6"/>
    </row>
    <row r="19" spans="1:12" ht="22.6" customHeight="1">
      <c r="A19" s="5">
        <v>45569.658199756945</v>
      </c>
      <c r="B19" s="6" t="s">
        <v>145</v>
      </c>
      <c r="C19" s="6" t="s">
        <v>670</v>
      </c>
      <c r="D19" s="6" t="s">
        <v>236</v>
      </c>
      <c r="E19" s="6">
        <v>4</v>
      </c>
      <c r="F19" s="6">
        <v>3</v>
      </c>
      <c r="G19" s="6">
        <v>4</v>
      </c>
      <c r="H19" s="6">
        <v>5</v>
      </c>
      <c r="I19" s="6"/>
      <c r="J19" s="6"/>
      <c r="K19" s="6"/>
      <c r="L19" s="6"/>
    </row>
    <row r="20" spans="1:12" ht="22.6" customHeight="1">
      <c r="A20" s="5">
        <v>45572.403214351856</v>
      </c>
      <c r="B20" s="6" t="s">
        <v>215</v>
      </c>
      <c r="C20" s="6" t="s">
        <v>671</v>
      </c>
      <c r="D20" s="6" t="s">
        <v>236</v>
      </c>
      <c r="E20" s="6">
        <v>4</v>
      </c>
      <c r="F20" s="6">
        <v>3</v>
      </c>
      <c r="G20" s="6">
        <v>3</v>
      </c>
      <c r="H20" s="6">
        <v>4</v>
      </c>
      <c r="I20" s="6" t="s">
        <v>672</v>
      </c>
      <c r="J20" s="6" t="s">
        <v>673</v>
      </c>
      <c r="K20" s="6"/>
      <c r="L20" s="6"/>
    </row>
    <row r="21" spans="1:12" ht="22.6" customHeight="1">
      <c r="A21" s="5">
        <v>45572.412709224533</v>
      </c>
      <c r="B21" s="6" t="s">
        <v>133</v>
      </c>
      <c r="C21" s="6" t="s">
        <v>585</v>
      </c>
      <c r="D21" s="6" t="s">
        <v>236</v>
      </c>
      <c r="E21" s="6">
        <v>5</v>
      </c>
      <c r="F21" s="6">
        <v>4</v>
      </c>
      <c r="G21" s="6">
        <v>4</v>
      </c>
      <c r="H21" s="6">
        <v>5</v>
      </c>
      <c r="I21" s="6" t="s">
        <v>674</v>
      </c>
      <c r="J21" s="6" t="s">
        <v>675</v>
      </c>
      <c r="K21" s="6"/>
      <c r="L21" s="6"/>
    </row>
    <row r="22" spans="1:12" ht="22.6" customHeight="1">
      <c r="A22" s="5">
        <v>45572.483201469906</v>
      </c>
      <c r="B22" s="6" t="s">
        <v>82</v>
      </c>
      <c r="C22" s="6" t="s">
        <v>571</v>
      </c>
      <c r="D22" s="6" t="s">
        <v>236</v>
      </c>
      <c r="E22" s="6">
        <v>4</v>
      </c>
      <c r="F22" s="6">
        <v>3</v>
      </c>
      <c r="G22" s="6">
        <v>4</v>
      </c>
      <c r="H22" s="6">
        <v>4</v>
      </c>
      <c r="I22" s="6" t="s">
        <v>676</v>
      </c>
      <c r="J22" s="6" t="s">
        <v>677</v>
      </c>
      <c r="K22" s="6"/>
      <c r="L22" s="6"/>
    </row>
    <row r="23" spans="1:12" ht="22.6" customHeight="1">
      <c r="A23" s="5">
        <v>45572.485329884265</v>
      </c>
      <c r="B23" s="6" t="s">
        <v>164</v>
      </c>
      <c r="C23" s="6" t="s">
        <v>589</v>
      </c>
      <c r="D23" s="6" t="s">
        <v>236</v>
      </c>
      <c r="E23" s="6">
        <v>4</v>
      </c>
      <c r="F23" s="6">
        <v>3</v>
      </c>
      <c r="G23" s="6">
        <v>3</v>
      </c>
      <c r="H23" s="6">
        <v>5</v>
      </c>
      <c r="I23" s="6" t="s">
        <v>678</v>
      </c>
      <c r="J23" s="6" t="s">
        <v>679</v>
      </c>
      <c r="K23" s="6"/>
      <c r="L23" s="6"/>
    </row>
    <row r="24" spans="1:12" ht="22.6" customHeight="1">
      <c r="A24" s="5">
        <v>45572.604568437499</v>
      </c>
      <c r="B24" s="6" t="s">
        <v>169</v>
      </c>
      <c r="C24" s="6" t="s">
        <v>581</v>
      </c>
      <c r="D24" s="6" t="s">
        <v>236</v>
      </c>
      <c r="E24" s="6">
        <v>4</v>
      </c>
      <c r="F24" s="6">
        <v>5</v>
      </c>
      <c r="G24" s="6">
        <v>4</v>
      </c>
      <c r="H24" s="6">
        <v>5</v>
      </c>
      <c r="I24" s="6" t="s">
        <v>680</v>
      </c>
      <c r="J24" s="6" t="s">
        <v>681</v>
      </c>
      <c r="K24" s="6"/>
      <c r="L24" s="6"/>
    </row>
    <row r="25" spans="1:12" ht="22.6" customHeight="1">
      <c r="A25" s="5">
        <v>45572.652264675926</v>
      </c>
      <c r="B25" s="6" t="s">
        <v>241</v>
      </c>
      <c r="C25" s="6" t="s">
        <v>682</v>
      </c>
      <c r="D25" s="6" t="s">
        <v>236</v>
      </c>
      <c r="E25" s="6">
        <v>4</v>
      </c>
      <c r="F25" s="6">
        <v>4</v>
      </c>
      <c r="G25" s="6">
        <v>4</v>
      </c>
      <c r="H25" s="6">
        <v>4</v>
      </c>
      <c r="I25" s="6" t="s">
        <v>683</v>
      </c>
      <c r="J25" s="6" t="s">
        <v>608</v>
      </c>
      <c r="K25" s="6"/>
      <c r="L25" s="6"/>
    </row>
    <row r="26" spans="1:12" ht="22.6" customHeight="1">
      <c r="A26" s="5">
        <v>45573.650642662033</v>
      </c>
      <c r="B26" s="6" t="s">
        <v>156</v>
      </c>
      <c r="C26" s="6" t="s">
        <v>588</v>
      </c>
      <c r="D26" s="6" t="s">
        <v>236</v>
      </c>
      <c r="E26" s="6">
        <v>4</v>
      </c>
      <c r="F26" s="6">
        <v>4</v>
      </c>
      <c r="G26" s="6">
        <v>3</v>
      </c>
      <c r="H26" s="6">
        <v>4</v>
      </c>
      <c r="I26" s="6" t="s">
        <v>684</v>
      </c>
    </row>
    <row r="27" spans="1:12" ht="22.6" customHeight="1">
      <c r="A27" s="5">
        <v>45713.722294039355</v>
      </c>
      <c r="B27" s="6" t="s">
        <v>24</v>
      </c>
      <c r="C27" s="6" t="s">
        <v>661</v>
      </c>
      <c r="D27" s="6" t="s">
        <v>214</v>
      </c>
      <c r="E27" s="6">
        <v>4</v>
      </c>
      <c r="F27" s="6">
        <v>4</v>
      </c>
      <c r="G27" s="6">
        <v>4</v>
      </c>
      <c r="H27" s="6">
        <v>5</v>
      </c>
      <c r="I27" s="6" t="s">
        <v>685</v>
      </c>
      <c r="J27" s="6" t="s">
        <v>686</v>
      </c>
      <c r="K27" s="6"/>
    </row>
    <row r="28" spans="1:12" ht="22.6" customHeight="1">
      <c r="A28" s="5">
        <v>45714.479719328709</v>
      </c>
      <c r="B28" s="6" t="s">
        <v>33</v>
      </c>
      <c r="C28" s="6" t="s">
        <v>587</v>
      </c>
      <c r="D28" s="6" t="s">
        <v>214</v>
      </c>
      <c r="E28" s="6">
        <v>4</v>
      </c>
      <c r="F28" s="6">
        <v>4</v>
      </c>
      <c r="G28" s="6">
        <v>3</v>
      </c>
      <c r="H28" s="6">
        <v>4</v>
      </c>
      <c r="I28" s="4" t="s">
        <v>687</v>
      </c>
      <c r="J28" s="6" t="s">
        <v>688</v>
      </c>
      <c r="K28" s="6"/>
    </row>
    <row r="29" spans="1:12" ht="22.6" customHeight="1">
      <c r="A29" s="5">
        <v>45715.44788467593</v>
      </c>
      <c r="B29" s="6" t="s">
        <v>31</v>
      </c>
      <c r="C29" s="6" t="s">
        <v>568</v>
      </c>
      <c r="D29" s="6" t="s">
        <v>214</v>
      </c>
      <c r="E29" s="6">
        <v>4</v>
      </c>
      <c r="F29" s="6">
        <v>3</v>
      </c>
      <c r="G29" s="6">
        <v>3</v>
      </c>
      <c r="H29" s="6">
        <v>5</v>
      </c>
      <c r="I29" s="6" t="s">
        <v>689</v>
      </c>
      <c r="J29" s="6" t="s">
        <v>690</v>
      </c>
      <c r="K29" s="6"/>
    </row>
    <row r="30" spans="1:12" ht="22.6" customHeight="1">
      <c r="A30" s="5">
        <v>45830.930051296295</v>
      </c>
      <c r="B30" s="6" t="s">
        <v>164</v>
      </c>
      <c r="C30" s="6" t="s">
        <v>589</v>
      </c>
      <c r="D30" s="6" t="s">
        <v>214</v>
      </c>
      <c r="E30" s="6">
        <v>5</v>
      </c>
      <c r="F30" s="6">
        <v>5</v>
      </c>
      <c r="G30" s="6">
        <v>3</v>
      </c>
      <c r="H30" s="6">
        <v>5</v>
      </c>
      <c r="I30" s="6" t="s">
        <v>691</v>
      </c>
      <c r="J30" s="6" t="s">
        <v>692</v>
      </c>
      <c r="K30" s="6"/>
    </row>
    <row r="31" spans="1:12" ht="22.6" customHeight="1">
      <c r="A31" s="5">
        <v>45860.419710671296</v>
      </c>
      <c r="B31" s="6" t="s">
        <v>141</v>
      </c>
      <c r="C31" s="6" t="s">
        <v>81</v>
      </c>
      <c r="D31" s="6" t="s">
        <v>239</v>
      </c>
      <c r="E31" s="6">
        <v>5</v>
      </c>
      <c r="F31" s="6">
        <v>5</v>
      </c>
      <c r="G31" s="6">
        <v>5</v>
      </c>
      <c r="H31" s="6">
        <v>5</v>
      </c>
      <c r="I31" s="6" t="s">
        <v>693</v>
      </c>
      <c r="J31" s="6" t="s">
        <v>609</v>
      </c>
      <c r="K31" s="6"/>
    </row>
    <row r="32" spans="1:12" ht="22.6" customHeight="1">
      <c r="A32" s="5">
        <v>45873.411113333335</v>
      </c>
      <c r="B32" s="6" t="s">
        <v>148</v>
      </c>
      <c r="C32" s="6" t="s">
        <v>26</v>
      </c>
      <c r="D32" s="6" t="s">
        <v>239</v>
      </c>
      <c r="E32" s="6">
        <v>5</v>
      </c>
      <c r="F32" s="6">
        <v>5</v>
      </c>
      <c r="G32" s="6">
        <v>5</v>
      </c>
      <c r="H32" s="6">
        <v>5</v>
      </c>
      <c r="I32" s="6" t="s">
        <v>694</v>
      </c>
      <c r="J32" s="6" t="s">
        <v>695</v>
      </c>
      <c r="K32" s="6"/>
    </row>
    <row r="33" spans="1:11" ht="22.6" customHeight="1">
      <c r="A33" s="5">
        <v>45873.736708599536</v>
      </c>
      <c r="B33" s="6" t="s">
        <v>130</v>
      </c>
      <c r="C33" s="6" t="s">
        <v>583</v>
      </c>
      <c r="D33" s="6" t="s">
        <v>239</v>
      </c>
      <c r="E33" s="6">
        <v>5</v>
      </c>
      <c r="F33" s="6">
        <v>5</v>
      </c>
      <c r="G33" s="6">
        <v>4</v>
      </c>
      <c r="H33" s="6">
        <v>5</v>
      </c>
      <c r="I33" s="6" t="s">
        <v>696</v>
      </c>
      <c r="J33" s="6" t="s">
        <v>697</v>
      </c>
      <c r="K33" s="37" t="s">
        <v>698</v>
      </c>
    </row>
    <row r="34" spans="1:11" ht="22.6" customHeight="1">
      <c r="A34" s="5">
        <v>45880.391574733796</v>
      </c>
      <c r="B34" s="6" t="s">
        <v>132</v>
      </c>
      <c r="C34" s="6" t="s">
        <v>577</v>
      </c>
      <c r="D34" s="6" t="s">
        <v>239</v>
      </c>
      <c r="E34" s="6">
        <v>4</v>
      </c>
      <c r="F34" s="6">
        <v>4</v>
      </c>
      <c r="G34" s="6">
        <v>4</v>
      </c>
      <c r="H34" s="6">
        <v>4</v>
      </c>
      <c r="I34" s="6" t="s">
        <v>335</v>
      </c>
      <c r="J34" s="6" t="s">
        <v>699</v>
      </c>
      <c r="K34" s="38" t="s">
        <v>700</v>
      </c>
    </row>
    <row r="35" spans="1:11" ht="22.6" customHeight="1">
      <c r="A35" s="5">
        <v>45880.507950983796</v>
      </c>
      <c r="B35" s="6" t="s">
        <v>117</v>
      </c>
      <c r="C35" s="6" t="s">
        <v>570</v>
      </c>
      <c r="D35" s="6" t="s">
        <v>239</v>
      </c>
      <c r="E35" s="6">
        <v>5</v>
      </c>
      <c r="F35" s="6">
        <v>5</v>
      </c>
      <c r="G35" s="6">
        <v>5</v>
      </c>
      <c r="H35" s="6">
        <v>5</v>
      </c>
      <c r="I35" s="6" t="s">
        <v>701</v>
      </c>
      <c r="J35" s="6" t="s">
        <v>702</v>
      </c>
      <c r="K35" s="38" t="s">
        <v>703</v>
      </c>
    </row>
    <row r="36" spans="1:11" ht="22.6" customHeight="1">
      <c r="A36" s="5">
        <v>45882.510729178241</v>
      </c>
      <c r="B36" s="6" t="s">
        <v>124</v>
      </c>
      <c r="C36" s="6" t="s">
        <v>590</v>
      </c>
      <c r="D36" s="6" t="s">
        <v>239</v>
      </c>
      <c r="E36" s="6">
        <v>3</v>
      </c>
      <c r="F36" s="6">
        <v>4</v>
      </c>
      <c r="G36" s="6">
        <v>3</v>
      </c>
      <c r="H36" s="6">
        <v>5</v>
      </c>
      <c r="I36" s="6" t="s">
        <v>704</v>
      </c>
      <c r="J36" s="6" t="s">
        <v>705</v>
      </c>
      <c r="K36" s="38" t="s">
        <v>706</v>
      </c>
    </row>
    <row r="37" spans="1:11" ht="22.6" customHeight="1">
      <c r="A37" s="5">
        <v>45882.600888020832</v>
      </c>
      <c r="B37" s="6" t="s">
        <v>134</v>
      </c>
      <c r="C37" s="6" t="s">
        <v>594</v>
      </c>
      <c r="D37" s="6" t="s">
        <v>235</v>
      </c>
      <c r="E37" s="6">
        <v>4</v>
      </c>
      <c r="F37" s="6">
        <v>5</v>
      </c>
      <c r="G37" s="6">
        <v>5</v>
      </c>
      <c r="H37" s="6">
        <v>5</v>
      </c>
      <c r="I37" s="4" t="s">
        <v>707</v>
      </c>
      <c r="J37" s="4" t="s">
        <v>607</v>
      </c>
      <c r="K37" s="38" t="s">
        <v>708</v>
      </c>
    </row>
    <row r="38" spans="1:11" ht="22.6" customHeight="1">
      <c r="A38" s="5">
        <v>45882.606120474535</v>
      </c>
      <c r="B38" s="6" t="s">
        <v>138</v>
      </c>
      <c r="C38" s="6" t="s">
        <v>573</v>
      </c>
      <c r="D38" s="6" t="s">
        <v>235</v>
      </c>
      <c r="E38" s="6">
        <v>5</v>
      </c>
      <c r="F38" s="6">
        <v>5</v>
      </c>
      <c r="G38" s="6">
        <v>5</v>
      </c>
      <c r="H38" s="6">
        <v>5</v>
      </c>
      <c r="I38" s="4" t="s">
        <v>709</v>
      </c>
      <c r="J38" s="4" t="s">
        <v>710</v>
      </c>
      <c r="K38" s="38" t="s">
        <v>711</v>
      </c>
    </row>
    <row r="39" spans="1:11" ht="22.6" customHeight="1">
      <c r="A39" s="5">
        <v>45882.61754496528</v>
      </c>
      <c r="B39" s="6" t="s">
        <v>140</v>
      </c>
      <c r="C39" s="6" t="s">
        <v>578</v>
      </c>
      <c r="D39" s="6" t="s">
        <v>235</v>
      </c>
      <c r="E39" s="6">
        <v>5</v>
      </c>
      <c r="F39" s="6">
        <v>5</v>
      </c>
      <c r="G39" s="6">
        <v>5</v>
      </c>
      <c r="H39" s="6">
        <v>5</v>
      </c>
      <c r="I39" s="4" t="s">
        <v>712</v>
      </c>
      <c r="J39" s="4" t="s">
        <v>713</v>
      </c>
      <c r="K39" s="38" t="s">
        <v>714</v>
      </c>
    </row>
    <row r="40" spans="1:11" ht="22.6" customHeight="1">
      <c r="A40" s="5">
        <v>45883.605906631943</v>
      </c>
      <c r="B40" s="6" t="s">
        <v>151</v>
      </c>
      <c r="C40" s="6" t="s">
        <v>584</v>
      </c>
      <c r="D40" s="6" t="s">
        <v>239</v>
      </c>
      <c r="E40" s="6">
        <v>4</v>
      </c>
      <c r="F40" s="6">
        <v>4</v>
      </c>
      <c r="G40" s="6">
        <v>4</v>
      </c>
      <c r="H40" s="6">
        <v>4</v>
      </c>
      <c r="I40" s="6" t="s">
        <v>715</v>
      </c>
      <c r="J40" s="6" t="s">
        <v>716</v>
      </c>
      <c r="K40" s="38" t="s">
        <v>717</v>
      </c>
    </row>
    <row r="41" spans="1:11" ht="22.6" customHeight="1">
      <c r="A41" s="5">
        <v>45888.622403483794</v>
      </c>
      <c r="B41" s="6" t="s">
        <v>24</v>
      </c>
      <c r="C41" s="6" t="s">
        <v>661</v>
      </c>
      <c r="D41" s="6" t="s">
        <v>239</v>
      </c>
      <c r="E41" s="6">
        <v>5</v>
      </c>
      <c r="F41" s="6">
        <v>5</v>
      </c>
      <c r="G41" s="6">
        <v>5</v>
      </c>
      <c r="H41" s="6">
        <v>5</v>
      </c>
      <c r="I41" s="6" t="s">
        <v>718</v>
      </c>
      <c r="J41" s="6" t="s">
        <v>719</v>
      </c>
      <c r="K41" s="38" t="s">
        <v>720</v>
      </c>
    </row>
    <row r="42" spans="1:11" ht="22.6" customHeight="1">
      <c r="A42" s="5">
        <v>45893.591069016205</v>
      </c>
      <c r="B42" s="6" t="s">
        <v>109</v>
      </c>
      <c r="C42" s="6" t="s">
        <v>597</v>
      </c>
      <c r="D42" s="6" t="s">
        <v>239</v>
      </c>
      <c r="E42" s="6">
        <v>4</v>
      </c>
      <c r="F42" s="6">
        <v>3</v>
      </c>
      <c r="G42" s="6">
        <v>3</v>
      </c>
      <c r="H42" s="6">
        <v>4</v>
      </c>
      <c r="I42" s="6" t="s">
        <v>721</v>
      </c>
      <c r="J42" s="6" t="s">
        <v>599</v>
      </c>
      <c r="K42" s="38" t="s">
        <v>722</v>
      </c>
    </row>
    <row r="43" spans="1:11" ht="22.6" customHeight="1">
      <c r="A43" s="5">
        <v>45897.841985798615</v>
      </c>
      <c r="B43" s="6" t="s">
        <v>125</v>
      </c>
      <c r="C43" s="6" t="s">
        <v>598</v>
      </c>
      <c r="D43" s="6" t="s">
        <v>239</v>
      </c>
      <c r="E43" s="6">
        <v>5</v>
      </c>
      <c r="F43" s="6">
        <v>4</v>
      </c>
      <c r="G43" s="6">
        <v>3</v>
      </c>
      <c r="H43" s="6">
        <v>5</v>
      </c>
      <c r="I43" s="6" t="s">
        <v>723</v>
      </c>
      <c r="J43" s="6" t="s">
        <v>724</v>
      </c>
      <c r="K43" s="38" t="s">
        <v>725</v>
      </c>
    </row>
    <row r="44" spans="1:11" ht="22.6" customHeight="1">
      <c r="A44" s="5">
        <v>45897.88577912037</v>
      </c>
      <c r="B44" s="6" t="s">
        <v>158</v>
      </c>
      <c r="C44" s="6" t="s">
        <v>591</v>
      </c>
      <c r="D44" s="6" t="s">
        <v>239</v>
      </c>
      <c r="E44" s="6">
        <v>4</v>
      </c>
      <c r="F44" s="6">
        <v>4</v>
      </c>
      <c r="G44" s="6">
        <v>5</v>
      </c>
      <c r="H44" s="6">
        <v>5</v>
      </c>
      <c r="I44" s="6" t="s">
        <v>726</v>
      </c>
      <c r="J44" s="6" t="s">
        <v>727</v>
      </c>
      <c r="K44" s="38" t="s">
        <v>728</v>
      </c>
    </row>
    <row r="45" spans="1:11" ht="22.6" customHeight="1">
      <c r="A45" s="5">
        <v>45898.6229450463</v>
      </c>
      <c r="B45" s="6" t="s">
        <v>157</v>
      </c>
      <c r="C45" s="6" t="s">
        <v>579</v>
      </c>
      <c r="D45" s="6" t="s">
        <v>239</v>
      </c>
      <c r="E45" s="6">
        <v>4</v>
      </c>
      <c r="F45" s="6">
        <v>4</v>
      </c>
      <c r="G45" s="6">
        <v>4</v>
      </c>
      <c r="H45" s="6">
        <v>4</v>
      </c>
      <c r="I45" s="6" t="s">
        <v>729</v>
      </c>
      <c r="J45" s="6" t="s">
        <v>730</v>
      </c>
      <c r="K45" s="38" t="s">
        <v>731</v>
      </c>
    </row>
    <row r="46" spans="1:11" ht="22.6" customHeight="1">
      <c r="A46" s="5">
        <v>45898.736757395833</v>
      </c>
      <c r="B46" s="6" t="s">
        <v>126</v>
      </c>
      <c r="C46" s="6" t="s">
        <v>732</v>
      </c>
      <c r="D46" s="6" t="s">
        <v>239</v>
      </c>
      <c r="E46" s="6">
        <v>4</v>
      </c>
      <c r="F46" s="6">
        <v>4</v>
      </c>
      <c r="G46" s="6">
        <v>4</v>
      </c>
      <c r="H46" s="6">
        <v>4</v>
      </c>
      <c r="I46" s="6" t="s">
        <v>733</v>
      </c>
      <c r="J46" s="6" t="s">
        <v>335</v>
      </c>
    </row>
    <row r="47" spans="1:11" ht="22.6" customHeight="1">
      <c r="A47" s="5">
        <v>45898.738642546297</v>
      </c>
      <c r="B47" s="6" t="s">
        <v>129</v>
      </c>
      <c r="C47" s="6" t="s">
        <v>592</v>
      </c>
      <c r="D47" s="6" t="s">
        <v>239</v>
      </c>
      <c r="E47" s="6">
        <v>5</v>
      </c>
      <c r="F47" s="6">
        <v>5</v>
      </c>
      <c r="G47" s="6">
        <v>5</v>
      </c>
      <c r="H47" s="6">
        <v>5</v>
      </c>
      <c r="I47" s="6" t="s">
        <v>734</v>
      </c>
      <c r="J47" s="6" t="s">
        <v>735</v>
      </c>
      <c r="K47" s="38" t="s">
        <v>736</v>
      </c>
    </row>
    <row r="48" spans="1:11" ht="22.6" customHeight="1">
      <c r="A48" s="5">
        <v>45898.958331817128</v>
      </c>
      <c r="B48" s="6" t="s">
        <v>123</v>
      </c>
      <c r="C48" s="6" t="s">
        <v>71</v>
      </c>
      <c r="D48" s="6" t="s">
        <v>239</v>
      </c>
      <c r="E48" s="6">
        <v>4</v>
      </c>
      <c r="F48" s="6">
        <v>3</v>
      </c>
      <c r="G48" s="6">
        <v>3</v>
      </c>
      <c r="H48" s="6">
        <v>5</v>
      </c>
      <c r="I48" s="6" t="s">
        <v>737</v>
      </c>
      <c r="J48" s="6" t="s">
        <v>738</v>
      </c>
      <c r="K48" s="38" t="s">
        <v>739</v>
      </c>
    </row>
    <row r="49" spans="1:11" ht="22.6" customHeight="1">
      <c r="A49" s="5">
        <v>45900.894442546298</v>
      </c>
      <c r="B49" s="6" t="s">
        <v>238</v>
      </c>
      <c r="C49" s="6" t="s">
        <v>740</v>
      </c>
      <c r="D49" s="6" t="s">
        <v>239</v>
      </c>
      <c r="E49" s="6">
        <v>4</v>
      </c>
      <c r="F49" s="6">
        <v>4</v>
      </c>
      <c r="G49" s="6">
        <v>5</v>
      </c>
      <c r="H49" s="6">
        <v>4</v>
      </c>
      <c r="I49" s="6" t="s">
        <v>741</v>
      </c>
      <c r="J49" s="6" t="s">
        <v>335</v>
      </c>
      <c r="K49" s="38" t="s">
        <v>742</v>
      </c>
    </row>
    <row r="50" spans="1:11" ht="22.6" customHeight="1">
      <c r="A50" s="5">
        <v>45900.90312127315</v>
      </c>
      <c r="B50" s="6" t="s">
        <v>107</v>
      </c>
      <c r="C50" s="6" t="s">
        <v>580</v>
      </c>
      <c r="D50" s="6" t="s">
        <v>239</v>
      </c>
      <c r="E50" s="6">
        <v>4</v>
      </c>
      <c r="F50" s="6">
        <v>4</v>
      </c>
      <c r="G50" s="6">
        <v>3</v>
      </c>
      <c r="H50" s="6">
        <v>5</v>
      </c>
      <c r="I50" s="6" t="s">
        <v>743</v>
      </c>
      <c r="J50" s="6" t="s">
        <v>744</v>
      </c>
      <c r="K50" s="38" t="s">
        <v>745</v>
      </c>
    </row>
    <row r="51" spans="1:11" ht="22.6" customHeight="1">
      <c r="A51" s="5">
        <v>45915.963842291661</v>
      </c>
      <c r="B51" s="6" t="s">
        <v>118</v>
      </c>
      <c r="C51" s="6" t="s">
        <v>572</v>
      </c>
      <c r="D51" s="6" t="s">
        <v>239</v>
      </c>
      <c r="E51" s="6">
        <v>4</v>
      </c>
      <c r="F51" s="6">
        <v>4</v>
      </c>
      <c r="G51" s="6">
        <v>4</v>
      </c>
      <c r="H51" s="6">
        <v>4</v>
      </c>
      <c r="I51" s="6" t="s">
        <v>746</v>
      </c>
      <c r="J51" s="6" t="s">
        <v>747</v>
      </c>
      <c r="K51" s="38" t="s">
        <v>748</v>
      </c>
    </row>
    <row r="52" spans="1:11" ht="22.6" customHeight="1">
      <c r="A52" s="5">
        <v>46001.658847881947</v>
      </c>
      <c r="B52" s="6" t="s">
        <v>140</v>
      </c>
      <c r="C52" s="6" t="s">
        <v>578</v>
      </c>
      <c r="D52" s="6" t="s">
        <v>749</v>
      </c>
      <c r="E52" s="6">
        <v>5</v>
      </c>
      <c r="F52" s="6">
        <v>5</v>
      </c>
      <c r="G52" s="6">
        <v>5</v>
      </c>
      <c r="H52" s="6">
        <v>5</v>
      </c>
      <c r="I52" s="6" t="s">
        <v>750</v>
      </c>
      <c r="J52" s="6" t="s">
        <v>751</v>
      </c>
      <c r="K52" s="38" t="s">
        <v>752</v>
      </c>
    </row>
    <row r="53" spans="1:11" ht="22.6" customHeight="1">
      <c r="A53" s="5">
        <v>46001.659137222217</v>
      </c>
      <c r="B53" s="6" t="s">
        <v>192</v>
      </c>
      <c r="C53" s="6" t="s">
        <v>79</v>
      </c>
      <c r="D53" s="6" t="s">
        <v>749</v>
      </c>
      <c r="E53" s="6">
        <v>5</v>
      </c>
      <c r="F53" s="6">
        <v>5</v>
      </c>
      <c r="G53" s="6">
        <v>5</v>
      </c>
      <c r="H53" s="6">
        <v>4</v>
      </c>
      <c r="I53" s="6" t="s">
        <v>753</v>
      </c>
      <c r="J53" s="6" t="s">
        <v>754</v>
      </c>
      <c r="K53" s="38" t="s">
        <v>755</v>
      </c>
    </row>
    <row r="54" spans="1:11" ht="22.6" customHeight="1">
      <c r="A54" s="5">
        <v>46001.660583182871</v>
      </c>
      <c r="B54" s="6" t="s">
        <v>370</v>
      </c>
      <c r="C54" s="6" t="s">
        <v>574</v>
      </c>
      <c r="D54" s="6" t="s">
        <v>749</v>
      </c>
      <c r="E54" s="6">
        <v>4</v>
      </c>
      <c r="F54" s="6">
        <v>4</v>
      </c>
      <c r="G54" s="6">
        <v>4</v>
      </c>
      <c r="H54" s="6">
        <v>4</v>
      </c>
      <c r="I54" s="6" t="s">
        <v>756</v>
      </c>
      <c r="J54" s="6" t="s">
        <v>86</v>
      </c>
      <c r="K54" s="38" t="s">
        <v>757</v>
      </c>
    </row>
    <row r="55" spans="1:11" ht="22.6" customHeight="1">
      <c r="A55" s="5">
        <v>46003.396308946758</v>
      </c>
      <c r="B55" s="6" t="s">
        <v>244</v>
      </c>
      <c r="C55" s="6" t="s">
        <v>596</v>
      </c>
      <c r="D55" s="6" t="s">
        <v>749</v>
      </c>
      <c r="E55" s="6">
        <v>5</v>
      </c>
      <c r="F55" s="6">
        <v>4</v>
      </c>
      <c r="G55" s="6">
        <v>3</v>
      </c>
      <c r="H55" s="6">
        <v>5</v>
      </c>
      <c r="I55" s="6" t="s">
        <v>758</v>
      </c>
      <c r="J55" s="6" t="s">
        <v>759</v>
      </c>
      <c r="K55" s="38" t="s">
        <v>760</v>
      </c>
    </row>
    <row r="56" spans="1:11" ht="22.6" customHeight="1">
      <c r="A56" s="5">
        <v>46004.772861990743</v>
      </c>
      <c r="B56" s="6" t="s">
        <v>134</v>
      </c>
      <c r="C56" s="6" t="s">
        <v>594</v>
      </c>
      <c r="D56" s="6" t="s">
        <v>749</v>
      </c>
      <c r="E56" s="6">
        <v>5</v>
      </c>
      <c r="F56" s="6">
        <v>4</v>
      </c>
      <c r="G56" s="6">
        <v>5</v>
      </c>
      <c r="H56" s="6">
        <v>5</v>
      </c>
      <c r="I56" s="6" t="s">
        <v>761</v>
      </c>
      <c r="J56" s="6" t="s">
        <v>762</v>
      </c>
      <c r="K56" s="38" t="s">
        <v>763</v>
      </c>
    </row>
    <row r="57" spans="1:11" ht="22.6" customHeight="1">
      <c r="A57" s="5">
        <v>46017.593526793979</v>
      </c>
      <c r="B57" s="6" t="s">
        <v>245</v>
      </c>
      <c r="C57" s="6" t="s">
        <v>595</v>
      </c>
      <c r="D57" s="6" t="s">
        <v>764</v>
      </c>
      <c r="E57" s="6">
        <v>4</v>
      </c>
      <c r="F57" s="6">
        <v>4</v>
      </c>
      <c r="G57" s="6">
        <v>4</v>
      </c>
      <c r="H57" s="6">
        <v>4</v>
      </c>
      <c r="I57" s="6" t="s">
        <v>765</v>
      </c>
      <c r="J57" s="6" t="s">
        <v>766</v>
      </c>
      <c r="K57" s="38" t="s">
        <v>767</v>
      </c>
    </row>
    <row r="58" spans="1:11" ht="22.6" customHeight="1">
      <c r="A58" s="5">
        <v>46017.594099965281</v>
      </c>
      <c r="B58" s="6" t="s">
        <v>242</v>
      </c>
      <c r="C58" s="6" t="s">
        <v>593</v>
      </c>
      <c r="D58" s="6" t="s">
        <v>764</v>
      </c>
      <c r="E58" s="6">
        <v>5</v>
      </c>
      <c r="F58" s="6">
        <v>5</v>
      </c>
      <c r="G58" s="6">
        <v>5</v>
      </c>
      <c r="H58" s="6">
        <v>5</v>
      </c>
      <c r="I58" s="6" t="s">
        <v>768</v>
      </c>
      <c r="J58" s="6" t="s">
        <v>769</v>
      </c>
      <c r="K58" s="38" t="s">
        <v>770</v>
      </c>
    </row>
    <row r="59" spans="1:11" ht="22.6" customHeight="1">
      <c r="A59" s="5">
        <v>46021.63940299768</v>
      </c>
      <c r="B59" s="6" t="s">
        <v>246</v>
      </c>
      <c r="C59" s="6" t="s">
        <v>586</v>
      </c>
      <c r="D59" s="6" t="s">
        <v>764</v>
      </c>
      <c r="E59" s="6">
        <v>5</v>
      </c>
      <c r="F59" s="6">
        <v>5</v>
      </c>
      <c r="G59" s="6">
        <v>5</v>
      </c>
      <c r="H59" s="6">
        <v>5</v>
      </c>
      <c r="I59" s="6" t="s">
        <v>771</v>
      </c>
      <c r="J59" s="6" t="s">
        <v>772</v>
      </c>
      <c r="K59" s="38" t="s">
        <v>773</v>
      </c>
    </row>
  </sheetData>
  <hyperlinks>
    <hyperlink ref="K33" r:id="rId1" xr:uid="{00000000-0004-0000-1600-000000000000}"/>
    <hyperlink ref="K34" r:id="rId2" xr:uid="{00000000-0004-0000-1600-000001000000}"/>
    <hyperlink ref="K35" r:id="rId3" xr:uid="{00000000-0004-0000-1600-000002000000}"/>
    <hyperlink ref="K36" r:id="rId4" xr:uid="{00000000-0004-0000-1600-000003000000}"/>
    <hyperlink ref="K37" r:id="rId5" xr:uid="{00000000-0004-0000-1600-000004000000}"/>
    <hyperlink ref="K38" r:id="rId6" xr:uid="{00000000-0004-0000-1600-000005000000}"/>
    <hyperlink ref="K39" r:id="rId7" xr:uid="{00000000-0004-0000-1600-000006000000}"/>
    <hyperlink ref="K40" r:id="rId8" xr:uid="{00000000-0004-0000-1600-000007000000}"/>
    <hyperlink ref="K41" r:id="rId9" xr:uid="{00000000-0004-0000-1600-000008000000}"/>
    <hyperlink ref="K42" r:id="rId10" xr:uid="{00000000-0004-0000-1600-000009000000}"/>
    <hyperlink ref="K43" r:id="rId11" xr:uid="{00000000-0004-0000-1600-00000A000000}"/>
    <hyperlink ref="K44" r:id="rId12" xr:uid="{00000000-0004-0000-1600-00000B000000}"/>
    <hyperlink ref="K45" r:id="rId13" xr:uid="{00000000-0004-0000-1600-00000C000000}"/>
    <hyperlink ref="K47" r:id="rId14" xr:uid="{00000000-0004-0000-1600-00000D000000}"/>
    <hyperlink ref="K48" r:id="rId15" xr:uid="{00000000-0004-0000-1600-00000E000000}"/>
    <hyperlink ref="K49" r:id="rId16" xr:uid="{00000000-0004-0000-1600-00000F000000}"/>
    <hyperlink ref="K50" r:id="rId17" xr:uid="{00000000-0004-0000-1600-000010000000}"/>
    <hyperlink ref="K51" r:id="rId18" xr:uid="{00000000-0004-0000-1600-000011000000}"/>
    <hyperlink ref="K52" r:id="rId19" xr:uid="{00000000-0004-0000-1600-000012000000}"/>
    <hyperlink ref="K53" r:id="rId20" xr:uid="{00000000-0004-0000-1600-000013000000}"/>
    <hyperlink ref="K54" r:id="rId21" xr:uid="{00000000-0004-0000-1600-000014000000}"/>
    <hyperlink ref="K55" r:id="rId22" xr:uid="{00000000-0004-0000-1600-000015000000}"/>
    <hyperlink ref="K56" r:id="rId23" xr:uid="{00000000-0004-0000-1600-000016000000}"/>
    <hyperlink ref="K57" r:id="rId24" xr:uid="{00000000-0004-0000-1600-000017000000}"/>
    <hyperlink ref="K58" r:id="rId25" xr:uid="{00000000-0004-0000-1600-000018000000}"/>
    <hyperlink ref="K59" r:id="rId26" xr:uid="{00000000-0004-0000-1600-000019000000}"/>
  </hyperlinks>
  <pageMargins left="0.7" right="0.7" top="0.75" bottom="0.75" header="0.3" footer="0.3"/>
  <tableParts count="1">
    <tablePart r:id="rId2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
  <sheetViews>
    <sheetView workbookViewId="0"/>
  </sheetViews>
  <sheetFormatPr defaultColWidth="12.625" defaultRowHeight="15.8"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feedback elearning</vt:lpstr>
      <vt:lpstr>Quà Q3</vt:lpstr>
      <vt:lpstr>Copy of Quà Q3</vt:lpstr>
      <vt:lpstr>Sheet14</vt:lpstr>
      <vt:lpstr>Data Learning Hours chi tiết 20</vt:lpstr>
      <vt:lpstr>Trang tính7</vt:lpstr>
      <vt:lpstr>Feedback (Training Budget Spons</vt:lpstr>
      <vt:lpstr>Feedback (Request)</vt:lpstr>
      <vt:lpstr>Tracking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Pham Nguyen Minh Ngoc</cp:lastModifiedBy>
  <dcterms:created xsi:type="dcterms:W3CDTF">2026-07-28T18:48:00Z</dcterms:created>
  <dcterms:modified xsi:type="dcterms:W3CDTF">2026-07-28T18:48:00Z</dcterms:modified>
</cp:coreProperties>
</file>